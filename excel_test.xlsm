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threadedComments/threadedComment2.xml" ContentType="application/vnd.ms-excel.threadedcomments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DC747B9D-DBBB-FA85-71B4-595EBAB9782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Flow_Chart_Generator\"/>
    </mc:Choice>
  </mc:AlternateContent>
  <xr:revisionPtr revIDLastSave="0" documentId="13_ncr:1_{2755ED66-8B2B-446C-AB03-FE040C3826A7}" xr6:coauthVersionLast="47" xr6:coauthVersionMax="47" xr10:uidLastSave="{00000000-0000-0000-0000-000000000000}"/>
  <bookViews>
    <workbookView xWindow="-120" yWindow="-120" windowWidth="29040" windowHeight="15720" firstSheet="1" activeTab="1" xr2:uid="{0BE03339-49AC-40EB-B9E4-25A3A8760FFF}"/>
  </bookViews>
  <sheets>
    <sheet name="TP.1 DETO" sheetId="28" r:id="rId1"/>
    <sheet name="TP.1 ATI" sheetId="24" r:id="rId2"/>
    <sheet name="TP.2 ATI" sheetId="22" r:id="rId3"/>
    <sheet name="TP.3 ATI" sheetId="23" r:id="rId4"/>
    <sheet name="TP.4 ATI" sheetId="26" r:id="rId5"/>
    <sheet name="TP.5 ATI" sheetId="27" r:id="rId6"/>
    <sheet name="PGI" sheetId="15" r:id="rId7"/>
    <sheet name="Chemicals" sheetId="14" r:id="rId8"/>
    <sheet name="Product samples" sheetId="20" r:id="rId9"/>
    <sheet name="Chemical data ref sheet" sheetId="18" r:id="rId10"/>
    <sheet name="Example" sheetId="21" r:id="rId11"/>
    <sheet name="Parameters" sheetId="17" r:id="rId12"/>
    <sheet name="Chemicals - sheets" sheetId="16" state="hidden" r:id="rId13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0" i="26" l="1"/>
  <c r="E129" i="26"/>
  <c r="E114" i="26"/>
  <c r="X13" i="26" s="1"/>
  <c r="E99" i="26"/>
  <c r="X12" i="26" s="1"/>
  <c r="E82" i="26"/>
  <c r="E81" i="26"/>
  <c r="E75" i="26"/>
  <c r="E70" i="26"/>
  <c r="E65" i="26"/>
  <c r="D51" i="15"/>
  <c r="AH51" i="15" s="1"/>
  <c r="H51" i="15"/>
  <c r="I51" i="15"/>
  <c r="P51" i="15"/>
  <c r="Q51" i="15" s="1"/>
  <c r="W51" i="15"/>
  <c r="X51" i="15"/>
  <c r="AD51" i="15"/>
  <c r="AE51" i="15"/>
  <c r="AK51" i="15"/>
  <c r="AL51" i="15"/>
  <c r="D52" i="15"/>
  <c r="AH52" i="15" s="1"/>
  <c r="H52" i="15"/>
  <c r="I52" i="15"/>
  <c r="P52" i="15"/>
  <c r="W52" i="15"/>
  <c r="X52" i="15"/>
  <c r="AD52" i="15"/>
  <c r="AE52" i="15"/>
  <c r="AK52" i="15"/>
  <c r="AL52" i="15"/>
  <c r="D53" i="15"/>
  <c r="T53" i="15" s="1"/>
  <c r="H53" i="15"/>
  <c r="I53" i="15"/>
  <c r="P53" i="15"/>
  <c r="W53" i="15"/>
  <c r="X53" i="15"/>
  <c r="AD53" i="15"/>
  <c r="AE53" i="15"/>
  <c r="AK53" i="15"/>
  <c r="AL53" i="15"/>
  <c r="E60" i="26"/>
  <c r="E55" i="26"/>
  <c r="E39" i="26"/>
  <c r="X8" i="26" s="1"/>
  <c r="E22" i="26"/>
  <c r="X7" i="26" s="1"/>
  <c r="L44" i="15"/>
  <c r="E13" i="26"/>
  <c r="X4" i="26" s="1"/>
  <c r="G83" i="23"/>
  <c r="E58" i="23"/>
  <c r="E55" i="23"/>
  <c r="E37" i="23"/>
  <c r="E13" i="23"/>
  <c r="E3" i="23"/>
  <c r="Y5" i="23" s="1"/>
  <c r="E8" i="23"/>
  <c r="Y4" i="23" s="1"/>
  <c r="G109" i="22"/>
  <c r="E92" i="22"/>
  <c r="E89" i="22"/>
  <c r="E86" i="22"/>
  <c r="E51" i="22"/>
  <c r="E48" i="22"/>
  <c r="E24" i="22"/>
  <c r="Y8" i="22" s="1"/>
  <c r="E9" i="22"/>
  <c r="Y6" i="22" s="1"/>
  <c r="E4" i="22"/>
  <c r="E3" i="22"/>
  <c r="G93" i="24"/>
  <c r="E73" i="24"/>
  <c r="E70" i="24"/>
  <c r="E67" i="24"/>
  <c r="E44" i="24"/>
  <c r="E23" i="24"/>
  <c r="E18" i="24"/>
  <c r="E13" i="24"/>
  <c r="E3" i="24"/>
  <c r="E8" i="24"/>
  <c r="G8" i="24"/>
  <c r="AL56" i="15"/>
  <c r="AK56" i="15"/>
  <c r="AH56" i="15"/>
  <c r="AE56" i="15"/>
  <c r="AD56" i="15"/>
  <c r="AA56" i="15"/>
  <c r="X56" i="15"/>
  <c r="W56" i="15"/>
  <c r="T56" i="15"/>
  <c r="P56" i="15"/>
  <c r="I56" i="15"/>
  <c r="H56" i="15"/>
  <c r="F56" i="15"/>
  <c r="D55" i="15"/>
  <c r="AA55" i="15" s="1"/>
  <c r="H55" i="15"/>
  <c r="I55" i="15"/>
  <c r="P55" i="15"/>
  <c r="W55" i="15"/>
  <c r="X55" i="15"/>
  <c r="AD55" i="15"/>
  <c r="AE55" i="15"/>
  <c r="AK55" i="15"/>
  <c r="AL55" i="15"/>
  <c r="D14" i="15"/>
  <c r="E79" i="24" s="1"/>
  <c r="D13" i="15"/>
  <c r="AA13" i="15" s="1"/>
  <c r="D54" i="15"/>
  <c r="T54" i="15" s="1"/>
  <c r="D39" i="15"/>
  <c r="T39" i="15" s="1"/>
  <c r="D38" i="15"/>
  <c r="AA38" i="15" s="1"/>
  <c r="H54" i="15"/>
  <c r="I54" i="15"/>
  <c r="P54" i="15"/>
  <c r="W54" i="15"/>
  <c r="X54" i="15"/>
  <c r="AA54" i="15"/>
  <c r="AD54" i="15"/>
  <c r="AE54" i="15"/>
  <c r="AK54" i="15"/>
  <c r="AL54" i="15"/>
  <c r="AL47" i="15"/>
  <c r="AK47" i="15"/>
  <c r="AH47" i="15"/>
  <c r="AE47" i="15"/>
  <c r="AD47" i="15"/>
  <c r="AA47" i="15"/>
  <c r="X47" i="15"/>
  <c r="W47" i="15"/>
  <c r="T47" i="15"/>
  <c r="P47" i="15"/>
  <c r="I47" i="15"/>
  <c r="H47" i="15"/>
  <c r="F47" i="15"/>
  <c r="AL46" i="15"/>
  <c r="AK46" i="15"/>
  <c r="AH46" i="15"/>
  <c r="AE46" i="15"/>
  <c r="AD46" i="15"/>
  <c r="AA46" i="15"/>
  <c r="X46" i="15"/>
  <c r="W46" i="15"/>
  <c r="T46" i="15"/>
  <c r="P46" i="15"/>
  <c r="I46" i="15"/>
  <c r="H46" i="15"/>
  <c r="F46" i="15"/>
  <c r="D48" i="15"/>
  <c r="AA48" i="15" s="1"/>
  <c r="H48" i="15"/>
  <c r="I48" i="15"/>
  <c r="P48" i="15"/>
  <c r="W48" i="15"/>
  <c r="X48" i="15"/>
  <c r="AD48" i="15"/>
  <c r="AE48" i="15"/>
  <c r="AK48" i="15"/>
  <c r="AL48" i="15"/>
  <c r="H43" i="15"/>
  <c r="I43" i="15"/>
  <c r="P43" i="15"/>
  <c r="T43" i="15"/>
  <c r="W43" i="15"/>
  <c r="X43" i="15"/>
  <c r="AA43" i="15"/>
  <c r="AD43" i="15"/>
  <c r="AE43" i="15"/>
  <c r="AH43" i="15"/>
  <c r="AK43" i="15"/>
  <c r="AL43" i="15"/>
  <c r="AL39" i="15"/>
  <c r="AK39" i="15"/>
  <c r="AE39" i="15"/>
  <c r="AD39" i="15"/>
  <c r="AA39" i="15"/>
  <c r="X39" i="15"/>
  <c r="W39" i="15"/>
  <c r="P39" i="15"/>
  <c r="I39" i="15"/>
  <c r="H39" i="15"/>
  <c r="F39" i="15"/>
  <c r="AL38" i="15"/>
  <c r="AK38" i="15"/>
  <c r="AE38" i="15"/>
  <c r="AD38" i="15"/>
  <c r="X38" i="15"/>
  <c r="W38" i="15"/>
  <c r="P38" i="15"/>
  <c r="I38" i="15"/>
  <c r="H38" i="15"/>
  <c r="F38" i="15"/>
  <c r="AL37" i="15"/>
  <c r="AK37" i="15"/>
  <c r="AH37" i="15"/>
  <c r="AE37" i="15"/>
  <c r="AD37" i="15"/>
  <c r="AA37" i="15"/>
  <c r="X37" i="15"/>
  <c r="W37" i="15"/>
  <c r="T37" i="15"/>
  <c r="P37" i="15"/>
  <c r="I37" i="15"/>
  <c r="H37" i="15"/>
  <c r="F37" i="15"/>
  <c r="AL36" i="15"/>
  <c r="AK36" i="15"/>
  <c r="AH36" i="15"/>
  <c r="AE36" i="15"/>
  <c r="AD36" i="15"/>
  <c r="AA36" i="15"/>
  <c r="X36" i="15"/>
  <c r="W36" i="15"/>
  <c r="T36" i="15"/>
  <c r="P36" i="15"/>
  <c r="I36" i="15"/>
  <c r="H36" i="15"/>
  <c r="F36" i="15"/>
  <c r="AL34" i="15"/>
  <c r="AK34" i="15"/>
  <c r="AH34" i="15"/>
  <c r="AE34" i="15"/>
  <c r="AD34" i="15"/>
  <c r="AA34" i="15"/>
  <c r="X34" i="15"/>
  <c r="W34" i="15"/>
  <c r="T34" i="15"/>
  <c r="P34" i="15"/>
  <c r="I34" i="15"/>
  <c r="H34" i="15"/>
  <c r="F34" i="15"/>
  <c r="D35" i="15"/>
  <c r="AA35" i="15" s="1"/>
  <c r="H35" i="15"/>
  <c r="I35" i="15"/>
  <c r="P35" i="15"/>
  <c r="W35" i="15"/>
  <c r="X35" i="15"/>
  <c r="AD35" i="15"/>
  <c r="AE35" i="15"/>
  <c r="AK35" i="15"/>
  <c r="AL35" i="15"/>
  <c r="AL29" i="15"/>
  <c r="AK29" i="15"/>
  <c r="AE29" i="15"/>
  <c r="AD29" i="15"/>
  <c r="X29" i="15"/>
  <c r="W29" i="15"/>
  <c r="P29" i="15"/>
  <c r="I29" i="15"/>
  <c r="H29" i="15"/>
  <c r="F29" i="15"/>
  <c r="D29" i="15"/>
  <c r="T29" i="15" s="1"/>
  <c r="AL28" i="15"/>
  <c r="AK28" i="15"/>
  <c r="AE28" i="15"/>
  <c r="AD28" i="15"/>
  <c r="X28" i="15"/>
  <c r="W28" i="15"/>
  <c r="P28" i="15"/>
  <c r="I28" i="15"/>
  <c r="H28" i="15"/>
  <c r="F28" i="15"/>
  <c r="D28" i="15"/>
  <c r="T28" i="15" s="1"/>
  <c r="AL27" i="15"/>
  <c r="AK27" i="15"/>
  <c r="AE27" i="15"/>
  <c r="AD27" i="15"/>
  <c r="X27" i="15"/>
  <c r="W27" i="15"/>
  <c r="P27" i="15"/>
  <c r="I27" i="15"/>
  <c r="H27" i="15"/>
  <c r="F27" i="15"/>
  <c r="D27" i="15"/>
  <c r="T27" i="15" s="1"/>
  <c r="AL25" i="15"/>
  <c r="AK25" i="15"/>
  <c r="AH25" i="15"/>
  <c r="AE25" i="15"/>
  <c r="AD25" i="15"/>
  <c r="AA25" i="15"/>
  <c r="X25" i="15"/>
  <c r="W25" i="15"/>
  <c r="T25" i="15"/>
  <c r="P25" i="15"/>
  <c r="Q25" i="15" s="1"/>
  <c r="I25" i="15"/>
  <c r="F25" i="15"/>
  <c r="AL24" i="15"/>
  <c r="AK24" i="15"/>
  <c r="AH24" i="15"/>
  <c r="AE24" i="15"/>
  <c r="AD24" i="15"/>
  <c r="AA24" i="15"/>
  <c r="X24" i="15"/>
  <c r="W24" i="15"/>
  <c r="T24" i="15"/>
  <c r="P24" i="15"/>
  <c r="Q24" i="15" s="1"/>
  <c r="I24" i="15"/>
  <c r="F24" i="15"/>
  <c r="AL23" i="15"/>
  <c r="AK23" i="15"/>
  <c r="AH23" i="15"/>
  <c r="AE23" i="15"/>
  <c r="AD23" i="15"/>
  <c r="AA23" i="15"/>
  <c r="X23" i="15"/>
  <c r="W23" i="15"/>
  <c r="T23" i="15"/>
  <c r="P23" i="15"/>
  <c r="Q23" i="15" s="1"/>
  <c r="I23" i="15"/>
  <c r="F23" i="15"/>
  <c r="AL26" i="15"/>
  <c r="AK26" i="15"/>
  <c r="AE26" i="15"/>
  <c r="AD26" i="15"/>
  <c r="X26" i="15"/>
  <c r="W26" i="15"/>
  <c r="P26" i="15"/>
  <c r="I26" i="15"/>
  <c r="H26" i="15"/>
  <c r="F26" i="15"/>
  <c r="D26" i="15"/>
  <c r="T26" i="15" s="1"/>
  <c r="AL22" i="15"/>
  <c r="AK22" i="15"/>
  <c r="AH22" i="15"/>
  <c r="AE22" i="15"/>
  <c r="AD22" i="15"/>
  <c r="AA22" i="15"/>
  <c r="X22" i="15"/>
  <c r="W22" i="15"/>
  <c r="T22" i="15"/>
  <c r="P22" i="15"/>
  <c r="Q22" i="15" s="1"/>
  <c r="I22" i="15"/>
  <c r="F22" i="15"/>
  <c r="AL21" i="15"/>
  <c r="AK21" i="15"/>
  <c r="AH21" i="15"/>
  <c r="AE21" i="15"/>
  <c r="AD21" i="15"/>
  <c r="AA21" i="15"/>
  <c r="X21" i="15"/>
  <c r="W21" i="15"/>
  <c r="T21" i="15"/>
  <c r="P21" i="15"/>
  <c r="Q21" i="15" s="1"/>
  <c r="I21" i="15"/>
  <c r="AL20" i="15"/>
  <c r="AK20" i="15"/>
  <c r="AH20" i="15"/>
  <c r="AE20" i="15"/>
  <c r="AD20" i="15"/>
  <c r="AA20" i="15"/>
  <c r="X20" i="15"/>
  <c r="W20" i="15"/>
  <c r="T20" i="15"/>
  <c r="P20" i="15"/>
  <c r="Q20" i="15" s="1"/>
  <c r="I20" i="15"/>
  <c r="AL14" i="15"/>
  <c r="AK14" i="15"/>
  <c r="AE14" i="15"/>
  <c r="AD14" i="15"/>
  <c r="X14" i="15"/>
  <c r="W14" i="15"/>
  <c r="T14" i="15"/>
  <c r="P14" i="15"/>
  <c r="I14" i="15"/>
  <c r="H14" i="15"/>
  <c r="AL13" i="15"/>
  <c r="AK13" i="15"/>
  <c r="AE13" i="15"/>
  <c r="AD13" i="15"/>
  <c r="X13" i="15"/>
  <c r="W13" i="15"/>
  <c r="P13" i="15"/>
  <c r="I13" i="15"/>
  <c r="H13" i="15"/>
  <c r="AL12" i="15"/>
  <c r="AK12" i="15"/>
  <c r="AH12" i="15"/>
  <c r="AE12" i="15"/>
  <c r="AD12" i="15"/>
  <c r="AA12" i="15"/>
  <c r="X12" i="15"/>
  <c r="W12" i="15"/>
  <c r="T12" i="15"/>
  <c r="P12" i="15"/>
  <c r="H12" i="15"/>
  <c r="F12" i="15"/>
  <c r="AL11" i="15"/>
  <c r="AK11" i="15"/>
  <c r="AH11" i="15"/>
  <c r="AE11" i="15"/>
  <c r="AD11" i="15"/>
  <c r="AA11" i="15"/>
  <c r="X11" i="15"/>
  <c r="W11" i="15"/>
  <c r="T11" i="15"/>
  <c r="P11" i="15"/>
  <c r="H11" i="15"/>
  <c r="F11" i="15"/>
  <c r="AL6" i="15"/>
  <c r="AK6" i="15"/>
  <c r="AH6" i="15"/>
  <c r="AE6" i="15"/>
  <c r="AD6" i="15"/>
  <c r="AA6" i="15"/>
  <c r="X6" i="15"/>
  <c r="W6" i="15"/>
  <c r="T6" i="15"/>
  <c r="P6" i="15"/>
  <c r="I6" i="15"/>
  <c r="H6" i="15"/>
  <c r="F6" i="15"/>
  <c r="Z22" i="28"/>
  <c r="Z17" i="28"/>
  <c r="Z16" i="28"/>
  <c r="X11" i="26"/>
  <c r="X6" i="26"/>
  <c r="X5" i="26"/>
  <c r="Y5" i="22"/>
  <c r="AA4" i="24"/>
  <c r="Z3" i="24"/>
  <c r="Z5" i="28"/>
  <c r="G146" i="28"/>
  <c r="Y6" i="23" l="1"/>
  <c r="AA51" i="15"/>
  <c r="T51" i="15"/>
  <c r="Q52" i="15"/>
  <c r="T52" i="15"/>
  <c r="AA52" i="15"/>
  <c r="E72" i="23"/>
  <c r="AA53" i="15"/>
  <c r="Q53" i="15"/>
  <c r="Q48" i="15"/>
  <c r="AH53" i="15"/>
  <c r="E63" i="22"/>
  <c r="Y9" i="22" s="1"/>
  <c r="E74" i="22"/>
  <c r="E36" i="23"/>
  <c r="Y7" i="23" s="1"/>
  <c r="Q47" i="15"/>
  <c r="T55" i="15"/>
  <c r="Q56" i="15"/>
  <c r="E95" i="22"/>
  <c r="E98" i="22"/>
  <c r="AH55" i="15"/>
  <c r="E64" i="23"/>
  <c r="Y8" i="23" s="1"/>
  <c r="AH39" i="15"/>
  <c r="AA14" i="15"/>
  <c r="AH14" i="15"/>
  <c r="Q36" i="15"/>
  <c r="E76" i="24"/>
  <c r="Z8" i="24" s="1"/>
  <c r="Q55" i="15"/>
  <c r="AH13" i="15"/>
  <c r="T13" i="15"/>
  <c r="Q46" i="15"/>
  <c r="AH54" i="15"/>
  <c r="AH38" i="15"/>
  <c r="T38" i="15"/>
  <c r="Q54" i="15"/>
  <c r="AH48" i="15"/>
  <c r="T48" i="15"/>
  <c r="Q29" i="15"/>
  <c r="T35" i="15"/>
  <c r="Q34" i="15"/>
  <c r="Q37" i="15"/>
  <c r="AH35" i="15"/>
  <c r="Q43" i="15"/>
  <c r="Q39" i="15"/>
  <c r="Q12" i="15"/>
  <c r="Q38" i="15"/>
  <c r="Q35" i="15"/>
  <c r="Q28" i="15"/>
  <c r="Q11" i="15"/>
  <c r="AH28" i="15"/>
  <c r="AA27" i="15"/>
  <c r="AA29" i="15"/>
  <c r="AA28" i="15"/>
  <c r="AH29" i="15"/>
  <c r="Q27" i="15"/>
  <c r="AH27" i="15"/>
  <c r="Q26" i="15"/>
  <c r="AH26" i="15"/>
  <c r="AA26" i="15"/>
  <c r="Q14" i="15"/>
  <c r="Q6" i="15"/>
  <c r="Q13" i="15"/>
  <c r="G105" i="27" l="1"/>
  <c r="G93" i="27"/>
  <c r="G81" i="27"/>
  <c r="Z6" i="24" l="1"/>
  <c r="Z4" i="24"/>
  <c r="Z5" i="24"/>
  <c r="H18" i="24"/>
  <c r="H49" i="24"/>
  <c r="G130" i="28"/>
  <c r="G126" i="28"/>
  <c r="G103" i="28"/>
  <c r="Z8" i="28" s="1"/>
  <c r="G82" i="28"/>
  <c r="G67" i="28"/>
  <c r="G25" i="28"/>
  <c r="Z6" i="28" s="1"/>
  <c r="G40" i="28"/>
  <c r="Z7" i="28" s="1"/>
  <c r="G15" i="28"/>
  <c r="H40" i="28" l="1"/>
  <c r="H67" i="28" s="1"/>
  <c r="Z4" i="28"/>
  <c r="H66" i="15"/>
  <c r="I66" i="15"/>
  <c r="P66" i="15"/>
  <c r="T66" i="15"/>
  <c r="W66" i="15"/>
  <c r="X66" i="15"/>
  <c r="AA66" i="15"/>
  <c r="AD66" i="15"/>
  <c r="AE66" i="15"/>
  <c r="AH66" i="15"/>
  <c r="AK66" i="15"/>
  <c r="AL66" i="15"/>
  <c r="H64" i="15"/>
  <c r="I64" i="15"/>
  <c r="P64" i="15"/>
  <c r="T64" i="15"/>
  <c r="W64" i="15"/>
  <c r="X64" i="15"/>
  <c r="AA64" i="15"/>
  <c r="AD64" i="15"/>
  <c r="AE64" i="15"/>
  <c r="AH64" i="15"/>
  <c r="AK64" i="15"/>
  <c r="AL64" i="15"/>
  <c r="F60" i="15"/>
  <c r="P60" i="15"/>
  <c r="Q60" i="15" s="1"/>
  <c r="T60" i="15"/>
  <c r="W60" i="15"/>
  <c r="X60" i="15"/>
  <c r="AA60" i="15"/>
  <c r="AD60" i="15"/>
  <c r="AE60" i="15"/>
  <c r="AH60" i="15"/>
  <c r="AK60" i="15"/>
  <c r="AL60" i="15"/>
  <c r="H61" i="15"/>
  <c r="I61" i="15"/>
  <c r="P61" i="15"/>
  <c r="T61" i="15"/>
  <c r="W61" i="15"/>
  <c r="X61" i="15"/>
  <c r="AA61" i="15"/>
  <c r="AD61" i="15"/>
  <c r="AE61" i="15"/>
  <c r="AH61" i="15"/>
  <c r="AK61" i="15"/>
  <c r="AL61" i="15"/>
  <c r="AH63" i="15"/>
  <c r="H63" i="15"/>
  <c r="I63" i="15"/>
  <c r="P63" i="15"/>
  <c r="Q63" i="15" s="1"/>
  <c r="T63" i="15"/>
  <c r="W63" i="15"/>
  <c r="X63" i="15"/>
  <c r="AD63" i="15"/>
  <c r="AE63" i="15"/>
  <c r="AK63" i="15"/>
  <c r="AL63" i="15"/>
  <c r="G60" i="27"/>
  <c r="G27" i="27"/>
  <c r="G8" i="27"/>
  <c r="Q66" i="15" l="1"/>
  <c r="AB64" i="15"/>
  <c r="Q64" i="15"/>
  <c r="AI66" i="15"/>
  <c r="AB66" i="15"/>
  <c r="U66" i="15"/>
  <c r="H8" i="27"/>
  <c r="H27" i="27" s="1"/>
  <c r="U64" i="15"/>
  <c r="Q61" i="15"/>
  <c r="AI64" i="15"/>
  <c r="AA63" i="15"/>
  <c r="AB63" i="15" s="1"/>
  <c r="U63" i="15"/>
  <c r="AI63" i="15"/>
  <c r="H50" i="15" l="1"/>
  <c r="I50" i="15"/>
  <c r="P50" i="15"/>
  <c r="Q50" i="15" s="1"/>
  <c r="T50" i="15"/>
  <c r="W50" i="15"/>
  <c r="X50" i="15"/>
  <c r="AA50" i="15"/>
  <c r="AD50" i="15"/>
  <c r="AE50" i="15"/>
  <c r="AH50" i="15"/>
  <c r="AK50" i="15"/>
  <c r="AL50" i="15"/>
  <c r="P49" i="15"/>
  <c r="I49" i="15"/>
  <c r="H49" i="15"/>
  <c r="F49" i="15"/>
  <c r="T49" i="15"/>
  <c r="P45" i="15"/>
  <c r="I45" i="15"/>
  <c r="H45" i="15"/>
  <c r="F45" i="15"/>
  <c r="T45" i="15"/>
  <c r="W45" i="15"/>
  <c r="X45" i="15"/>
  <c r="AD45" i="15"/>
  <c r="AE45" i="15"/>
  <c r="AH45" i="15"/>
  <c r="AK45" i="15"/>
  <c r="AL45" i="15"/>
  <c r="W49" i="15"/>
  <c r="X49" i="15"/>
  <c r="AD49" i="15"/>
  <c r="AE49" i="15"/>
  <c r="AK49" i="15"/>
  <c r="AL49" i="15"/>
  <c r="D44" i="15"/>
  <c r="H33" i="15"/>
  <c r="I33" i="15"/>
  <c r="P33" i="15"/>
  <c r="T33" i="15"/>
  <c r="W33" i="15"/>
  <c r="X33" i="15"/>
  <c r="AA33" i="15"/>
  <c r="AD33" i="15"/>
  <c r="AE33" i="15"/>
  <c r="AH33" i="15"/>
  <c r="AK33" i="15"/>
  <c r="AL33" i="15"/>
  <c r="I19" i="15"/>
  <c r="P19" i="15"/>
  <c r="W19" i="15"/>
  <c r="X19" i="15"/>
  <c r="AD19" i="15"/>
  <c r="AE19" i="15"/>
  <c r="AK19" i="15"/>
  <c r="AL19" i="15"/>
  <c r="Q49" i="15" l="1"/>
  <c r="Q45" i="15"/>
  <c r="AA49" i="15"/>
  <c r="AH49" i="15"/>
  <c r="AA45" i="15"/>
  <c r="Q33" i="15"/>
  <c r="Q19" i="15"/>
  <c r="I5" i="15" l="1"/>
  <c r="I7" i="15"/>
  <c r="I8" i="15"/>
  <c r="I9" i="15"/>
  <c r="I16" i="15"/>
  <c r="I18" i="15"/>
  <c r="I31" i="15"/>
  <c r="I32" i="15"/>
  <c r="D17" i="15" l="1"/>
  <c r="E14" i="22" s="1"/>
  <c r="Y7" i="22" s="1"/>
  <c r="F17" i="15"/>
  <c r="H17" i="15"/>
  <c r="P17" i="15"/>
  <c r="W17" i="15"/>
  <c r="X17" i="15"/>
  <c r="AD17" i="15"/>
  <c r="AE17" i="15"/>
  <c r="AK17" i="15"/>
  <c r="AL17" i="15"/>
  <c r="P3" i="15"/>
  <c r="Q3" i="15" s="1"/>
  <c r="R3" i="15"/>
  <c r="S3" i="15"/>
  <c r="T3" i="15"/>
  <c r="U3" i="15" s="1"/>
  <c r="Y3" i="15"/>
  <c r="Z3" i="15"/>
  <c r="AA3" i="15"/>
  <c r="AB3" i="15" s="1"/>
  <c r="AF3" i="15"/>
  <c r="AG3" i="15"/>
  <c r="AH3" i="15"/>
  <c r="AI3" i="15" s="1"/>
  <c r="P4" i="15"/>
  <c r="W4" i="15"/>
  <c r="X4" i="15"/>
  <c r="AD4" i="15"/>
  <c r="AE4" i="15"/>
  <c r="P5" i="15"/>
  <c r="W5" i="15"/>
  <c r="X5" i="15"/>
  <c r="AD5" i="15"/>
  <c r="AE5" i="15"/>
  <c r="P7" i="15"/>
  <c r="W7" i="15"/>
  <c r="X7" i="15"/>
  <c r="AD7" i="15"/>
  <c r="AE7" i="15"/>
  <c r="P8" i="15"/>
  <c r="W8" i="15"/>
  <c r="X8" i="15"/>
  <c r="AD8" i="15"/>
  <c r="AE8" i="15"/>
  <c r="P9" i="15"/>
  <c r="W9" i="15"/>
  <c r="X9" i="15"/>
  <c r="AD9" i="15"/>
  <c r="AE9" i="15"/>
  <c r="P10" i="15"/>
  <c r="W10" i="15"/>
  <c r="X10" i="15"/>
  <c r="AD10" i="15"/>
  <c r="AE10" i="15"/>
  <c r="AA15" i="15"/>
  <c r="AB15" i="15" s="1"/>
  <c r="AH15" i="15"/>
  <c r="AI15" i="15" s="1"/>
  <c r="P16" i="15"/>
  <c r="R16" i="15"/>
  <c r="S16" i="15"/>
  <c r="W16" i="15"/>
  <c r="X16" i="15"/>
  <c r="Y16" i="15"/>
  <c r="Z16" i="15"/>
  <c r="AD16" i="15"/>
  <c r="AE16" i="15"/>
  <c r="AF16" i="15"/>
  <c r="AG16" i="15"/>
  <c r="P18" i="15"/>
  <c r="W18" i="15"/>
  <c r="X18" i="15"/>
  <c r="AD18" i="15"/>
  <c r="AE18" i="15"/>
  <c r="P30" i="15"/>
  <c r="Q30" i="15" s="1"/>
  <c r="P31" i="15"/>
  <c r="R31" i="15"/>
  <c r="S31" i="15"/>
  <c r="W31" i="15"/>
  <c r="X31" i="15"/>
  <c r="Y31" i="15"/>
  <c r="Z31" i="15"/>
  <c r="AD31" i="15"/>
  <c r="AE31" i="15"/>
  <c r="AF31" i="15"/>
  <c r="AG31" i="15"/>
  <c r="P32" i="15"/>
  <c r="W32" i="15"/>
  <c r="X32" i="15"/>
  <c r="AD32" i="15"/>
  <c r="AE32" i="15"/>
  <c r="AA40" i="15"/>
  <c r="AB40" i="15" s="1"/>
  <c r="AH40" i="15"/>
  <c r="AI40" i="15" s="1"/>
  <c r="P41" i="15"/>
  <c r="R41" i="15"/>
  <c r="S41" i="15"/>
  <c r="W41" i="15"/>
  <c r="X41" i="15"/>
  <c r="Y41" i="15"/>
  <c r="Z41" i="15"/>
  <c r="AD41" i="15"/>
  <c r="AE41" i="15"/>
  <c r="AF41" i="15"/>
  <c r="AG41" i="15"/>
  <c r="P42" i="15"/>
  <c r="W42" i="15"/>
  <c r="X42" i="15"/>
  <c r="AD42" i="15"/>
  <c r="AE42" i="15"/>
  <c r="P44" i="15"/>
  <c r="W44" i="15"/>
  <c r="X44" i="15"/>
  <c r="AD44" i="15"/>
  <c r="AE44" i="15"/>
  <c r="P57" i="15"/>
  <c r="P58" i="15"/>
  <c r="R58" i="15"/>
  <c r="S58" i="15"/>
  <c r="W58" i="15"/>
  <c r="X58" i="15"/>
  <c r="Y58" i="15"/>
  <c r="Z58" i="15"/>
  <c r="AD58" i="15"/>
  <c r="AE58" i="15"/>
  <c r="AF58" i="15"/>
  <c r="AG58" i="15"/>
  <c r="P59" i="15"/>
  <c r="W59" i="15"/>
  <c r="X59" i="15"/>
  <c r="AD59" i="15"/>
  <c r="AE59" i="15"/>
  <c r="P62" i="15"/>
  <c r="W62" i="15"/>
  <c r="X62" i="15"/>
  <c r="AD62" i="15"/>
  <c r="AE62" i="15"/>
  <c r="P65" i="15"/>
  <c r="W65" i="15"/>
  <c r="X65" i="15"/>
  <c r="AD65" i="15"/>
  <c r="AE65" i="15"/>
  <c r="P67" i="15"/>
  <c r="W67" i="15"/>
  <c r="X67" i="15"/>
  <c r="AD67" i="15"/>
  <c r="AE67" i="15"/>
  <c r="P68" i="15"/>
  <c r="R68" i="15"/>
  <c r="S68" i="15"/>
  <c r="W68" i="15"/>
  <c r="X68" i="15"/>
  <c r="Y68" i="15"/>
  <c r="Z68" i="15"/>
  <c r="AD68" i="15"/>
  <c r="AE68" i="15"/>
  <c r="AF68" i="15"/>
  <c r="AG68" i="15"/>
  <c r="P69" i="15"/>
  <c r="R69" i="15"/>
  <c r="S69" i="15"/>
  <c r="W69" i="15"/>
  <c r="X69" i="15"/>
  <c r="Y69" i="15"/>
  <c r="Z69" i="15"/>
  <c r="AD69" i="15"/>
  <c r="AE69" i="15"/>
  <c r="AF69" i="15"/>
  <c r="AG69" i="15"/>
  <c r="P70" i="15"/>
  <c r="R70" i="15"/>
  <c r="S70" i="15"/>
  <c r="W70" i="15"/>
  <c r="X70" i="15"/>
  <c r="Y70" i="15"/>
  <c r="Z70" i="15"/>
  <c r="AD70" i="15"/>
  <c r="AE70" i="15"/>
  <c r="AF70" i="15"/>
  <c r="AG70" i="15"/>
  <c r="P71" i="15"/>
  <c r="R71" i="15"/>
  <c r="S71" i="15"/>
  <c r="W71" i="15"/>
  <c r="X71" i="15"/>
  <c r="Y71" i="15"/>
  <c r="Z71" i="15"/>
  <c r="AD71" i="15"/>
  <c r="AE71" i="15"/>
  <c r="AF71" i="15"/>
  <c r="AG71" i="15"/>
  <c r="P72" i="15"/>
  <c r="R72" i="15"/>
  <c r="S72" i="15"/>
  <c r="W72" i="15"/>
  <c r="X72" i="15"/>
  <c r="Y72" i="15"/>
  <c r="Z72" i="15"/>
  <c r="AD72" i="15"/>
  <c r="AE72" i="15"/>
  <c r="AF72" i="15"/>
  <c r="AG72" i="15"/>
  <c r="P73" i="15"/>
  <c r="R73" i="15"/>
  <c r="S73" i="15"/>
  <c r="W73" i="15"/>
  <c r="X73" i="15"/>
  <c r="Y73" i="15"/>
  <c r="Z73" i="15"/>
  <c r="AD73" i="15"/>
  <c r="AE73" i="15"/>
  <c r="AF73" i="15"/>
  <c r="AG73" i="15"/>
  <c r="P74" i="15"/>
  <c r="R74" i="15"/>
  <c r="S74" i="15"/>
  <c r="W74" i="15"/>
  <c r="X74" i="15"/>
  <c r="Y74" i="15"/>
  <c r="Z74" i="15"/>
  <c r="AD74" i="15"/>
  <c r="AE74" i="15"/>
  <c r="AF74" i="15"/>
  <c r="AG74" i="15"/>
  <c r="P75" i="15"/>
  <c r="R75" i="15"/>
  <c r="S75" i="15"/>
  <c r="W75" i="15"/>
  <c r="X75" i="15"/>
  <c r="Y75" i="15"/>
  <c r="Z75" i="15"/>
  <c r="AD75" i="15"/>
  <c r="AE75" i="15"/>
  <c r="AF75" i="15"/>
  <c r="AG75" i="15"/>
  <c r="P76" i="15"/>
  <c r="R76" i="15"/>
  <c r="S76" i="15"/>
  <c r="W76" i="15"/>
  <c r="X76" i="15"/>
  <c r="Y76" i="15"/>
  <c r="Z76" i="15"/>
  <c r="AD76" i="15"/>
  <c r="AE76" i="15"/>
  <c r="AF76" i="15"/>
  <c r="AG76" i="15"/>
  <c r="P77" i="15"/>
  <c r="R77" i="15"/>
  <c r="S77" i="15"/>
  <c r="W77" i="15"/>
  <c r="X77" i="15"/>
  <c r="Y77" i="15"/>
  <c r="Z77" i="15"/>
  <c r="AD77" i="15"/>
  <c r="AE77" i="15"/>
  <c r="AF77" i="15"/>
  <c r="AG77" i="15"/>
  <c r="P78" i="15"/>
  <c r="R78" i="15"/>
  <c r="S78" i="15"/>
  <c r="W78" i="15"/>
  <c r="X78" i="15"/>
  <c r="Y78" i="15"/>
  <c r="Z78" i="15"/>
  <c r="AD78" i="15"/>
  <c r="AE78" i="15"/>
  <c r="AF78" i="15"/>
  <c r="AG78" i="15"/>
  <c r="P79" i="15"/>
  <c r="R79" i="15"/>
  <c r="S79" i="15"/>
  <c r="W79" i="15"/>
  <c r="X79" i="15"/>
  <c r="Y79" i="15"/>
  <c r="Z79" i="15"/>
  <c r="AD79" i="15"/>
  <c r="AE79" i="15"/>
  <c r="AF79" i="15"/>
  <c r="AG79" i="15"/>
  <c r="P80" i="15"/>
  <c r="R80" i="15"/>
  <c r="S80" i="15"/>
  <c r="W80" i="15"/>
  <c r="X80" i="15"/>
  <c r="Y80" i="15"/>
  <c r="Z80" i="15"/>
  <c r="AD80" i="15"/>
  <c r="AE80" i="15"/>
  <c r="AF80" i="15"/>
  <c r="AG80" i="15"/>
  <c r="P81" i="15"/>
  <c r="R81" i="15"/>
  <c r="S81" i="15"/>
  <c r="W81" i="15"/>
  <c r="X81" i="15"/>
  <c r="Y81" i="15"/>
  <c r="Z81" i="15"/>
  <c r="AD81" i="15"/>
  <c r="AE81" i="15"/>
  <c r="AF81" i="15"/>
  <c r="AG81" i="15"/>
  <c r="P82" i="15"/>
  <c r="R82" i="15"/>
  <c r="S82" i="15"/>
  <c r="W82" i="15"/>
  <c r="X82" i="15"/>
  <c r="Y82" i="15"/>
  <c r="Z82" i="15"/>
  <c r="AD82" i="15"/>
  <c r="AE82" i="15"/>
  <c r="AF82" i="15"/>
  <c r="AG82" i="15"/>
  <c r="P83" i="15"/>
  <c r="R83" i="15"/>
  <c r="S83" i="15"/>
  <c r="W83" i="15"/>
  <c r="X83" i="15"/>
  <c r="Y83" i="15"/>
  <c r="Z83" i="15"/>
  <c r="AD83" i="15"/>
  <c r="AE83" i="15"/>
  <c r="AF83" i="15"/>
  <c r="AG83" i="15"/>
  <c r="P84" i="15"/>
  <c r="R84" i="15"/>
  <c r="S84" i="15"/>
  <c r="W84" i="15"/>
  <c r="X84" i="15"/>
  <c r="Y84" i="15"/>
  <c r="Z84" i="15"/>
  <c r="AD84" i="15"/>
  <c r="AE84" i="15"/>
  <c r="AF84" i="15"/>
  <c r="AG84" i="15"/>
  <c r="P85" i="15"/>
  <c r="R85" i="15"/>
  <c r="S85" i="15"/>
  <c r="W85" i="15"/>
  <c r="X85" i="15"/>
  <c r="Y85" i="15"/>
  <c r="Z85" i="15"/>
  <c r="AD85" i="15"/>
  <c r="AE85" i="15"/>
  <c r="AF85" i="15"/>
  <c r="AG85" i="15"/>
  <c r="P86" i="15"/>
  <c r="R86" i="15"/>
  <c r="S86" i="15"/>
  <c r="W86" i="15"/>
  <c r="X86" i="15"/>
  <c r="Y86" i="15"/>
  <c r="Z86" i="15"/>
  <c r="AD86" i="15"/>
  <c r="AE86" i="15"/>
  <c r="AF86" i="15"/>
  <c r="AG86" i="15"/>
  <c r="P87" i="15"/>
  <c r="R87" i="15"/>
  <c r="S87" i="15"/>
  <c r="W87" i="15"/>
  <c r="X87" i="15"/>
  <c r="Y87" i="15"/>
  <c r="Z87" i="15"/>
  <c r="AD87" i="15"/>
  <c r="AE87" i="15"/>
  <c r="AF87" i="15"/>
  <c r="AG87" i="15"/>
  <c r="P88" i="15"/>
  <c r="R88" i="15"/>
  <c r="S88" i="15"/>
  <c r="W88" i="15"/>
  <c r="X88" i="15"/>
  <c r="Y88" i="15"/>
  <c r="Z88" i="15"/>
  <c r="AD88" i="15"/>
  <c r="AE88" i="15"/>
  <c r="AF88" i="15"/>
  <c r="AG88" i="15"/>
  <c r="P89" i="15"/>
  <c r="R89" i="15"/>
  <c r="S89" i="15"/>
  <c r="W89" i="15"/>
  <c r="X89" i="15"/>
  <c r="Y89" i="15"/>
  <c r="Z89" i="15"/>
  <c r="AD89" i="15"/>
  <c r="AE89" i="15"/>
  <c r="AF89" i="15"/>
  <c r="AG89" i="15"/>
  <c r="P90" i="15"/>
  <c r="R90" i="15"/>
  <c r="S90" i="15"/>
  <c r="W90" i="15"/>
  <c r="X90" i="15"/>
  <c r="Y90" i="15"/>
  <c r="Z90" i="15"/>
  <c r="AD90" i="15"/>
  <c r="AE90" i="15"/>
  <c r="AF90" i="15"/>
  <c r="AG90" i="15"/>
  <c r="P91" i="15"/>
  <c r="R91" i="15"/>
  <c r="S91" i="15"/>
  <c r="W91" i="15"/>
  <c r="X91" i="15"/>
  <c r="Y91" i="15"/>
  <c r="Z91" i="15"/>
  <c r="AD91" i="15"/>
  <c r="AE91" i="15"/>
  <c r="AF91" i="15"/>
  <c r="AG91" i="15"/>
  <c r="P92" i="15"/>
  <c r="R92" i="15"/>
  <c r="S92" i="15"/>
  <c r="W92" i="15"/>
  <c r="X92" i="15"/>
  <c r="Y92" i="15"/>
  <c r="Z92" i="15"/>
  <c r="AD92" i="15"/>
  <c r="AE92" i="15"/>
  <c r="AF92" i="15"/>
  <c r="AG92" i="15"/>
  <c r="P93" i="15"/>
  <c r="R93" i="15"/>
  <c r="S93" i="15"/>
  <c r="W93" i="15"/>
  <c r="X93" i="15"/>
  <c r="Y93" i="15"/>
  <c r="Z93" i="15"/>
  <c r="AD93" i="15"/>
  <c r="AE93" i="15"/>
  <c r="AF93" i="15"/>
  <c r="AG93" i="15"/>
  <c r="P94" i="15"/>
  <c r="R94" i="15"/>
  <c r="S94" i="15"/>
  <c r="W94" i="15"/>
  <c r="X94" i="15"/>
  <c r="Y94" i="15"/>
  <c r="Z94" i="15"/>
  <c r="AD94" i="15"/>
  <c r="AE94" i="15"/>
  <c r="AF94" i="15"/>
  <c r="AG94" i="15"/>
  <c r="P95" i="15"/>
  <c r="R95" i="15"/>
  <c r="S95" i="15"/>
  <c r="W95" i="15"/>
  <c r="X95" i="15"/>
  <c r="Y95" i="15"/>
  <c r="Z95" i="15"/>
  <c r="AD95" i="15"/>
  <c r="AE95" i="15"/>
  <c r="AF95" i="15"/>
  <c r="AG95" i="15"/>
  <c r="P96" i="15"/>
  <c r="R96" i="15"/>
  <c r="S96" i="15"/>
  <c r="W96" i="15"/>
  <c r="X96" i="15"/>
  <c r="Y96" i="15"/>
  <c r="Z96" i="15"/>
  <c r="AD96" i="15"/>
  <c r="AE96" i="15"/>
  <c r="AF96" i="15"/>
  <c r="AG96" i="15"/>
  <c r="P97" i="15"/>
  <c r="R97" i="15"/>
  <c r="S97" i="15"/>
  <c r="W97" i="15"/>
  <c r="X97" i="15"/>
  <c r="Y97" i="15"/>
  <c r="Z97" i="15"/>
  <c r="AD97" i="15"/>
  <c r="AE97" i="15"/>
  <c r="AF97" i="15"/>
  <c r="AG97" i="15"/>
  <c r="P98" i="15"/>
  <c r="R98" i="15"/>
  <c r="S98" i="15"/>
  <c r="W98" i="15"/>
  <c r="X98" i="15"/>
  <c r="Y98" i="15"/>
  <c r="Z98" i="15"/>
  <c r="AD98" i="15"/>
  <c r="AE98" i="15"/>
  <c r="AF98" i="15"/>
  <c r="AG98" i="15"/>
  <c r="P99" i="15"/>
  <c r="R99" i="15"/>
  <c r="S99" i="15"/>
  <c r="W99" i="15"/>
  <c r="X99" i="15"/>
  <c r="Y99" i="15"/>
  <c r="Z99" i="15"/>
  <c r="AD99" i="15"/>
  <c r="AE99" i="15"/>
  <c r="AF99" i="15"/>
  <c r="AG99" i="15"/>
  <c r="P100" i="15"/>
  <c r="R100" i="15"/>
  <c r="S100" i="15"/>
  <c r="W100" i="15"/>
  <c r="X100" i="15"/>
  <c r="Y100" i="15"/>
  <c r="Z100" i="15"/>
  <c r="AD100" i="15"/>
  <c r="AE100" i="15"/>
  <c r="AF100" i="15"/>
  <c r="AG100" i="15"/>
  <c r="P101" i="15"/>
  <c r="R101" i="15"/>
  <c r="S101" i="15"/>
  <c r="W101" i="15"/>
  <c r="X101" i="15"/>
  <c r="Y101" i="15"/>
  <c r="Z101" i="15"/>
  <c r="AD101" i="15"/>
  <c r="AE101" i="15"/>
  <c r="AF101" i="15"/>
  <c r="AG101" i="15"/>
  <c r="P102" i="15"/>
  <c r="R102" i="15"/>
  <c r="S102" i="15"/>
  <c r="W102" i="15"/>
  <c r="X102" i="15"/>
  <c r="Y102" i="15"/>
  <c r="Z102" i="15"/>
  <c r="AD102" i="15"/>
  <c r="AE102" i="15"/>
  <c r="AF102" i="15"/>
  <c r="AG102" i="15"/>
  <c r="P103" i="15"/>
  <c r="R103" i="15"/>
  <c r="S103" i="15"/>
  <c r="W103" i="15"/>
  <c r="X103" i="15"/>
  <c r="Y103" i="15"/>
  <c r="Z103" i="15"/>
  <c r="AD103" i="15"/>
  <c r="AE103" i="15"/>
  <c r="AF103" i="15"/>
  <c r="AG103" i="15"/>
  <c r="P104" i="15"/>
  <c r="R104" i="15"/>
  <c r="S104" i="15"/>
  <c r="W104" i="15"/>
  <c r="X104" i="15"/>
  <c r="Y104" i="15"/>
  <c r="Z104" i="15"/>
  <c r="AD104" i="15"/>
  <c r="AE104" i="15"/>
  <c r="AF104" i="15"/>
  <c r="AG104" i="15"/>
  <c r="P105" i="15"/>
  <c r="R105" i="15"/>
  <c r="S105" i="15"/>
  <c r="W105" i="15"/>
  <c r="X105" i="15"/>
  <c r="Y105" i="15"/>
  <c r="Z105" i="15"/>
  <c r="AD105" i="15"/>
  <c r="AE105" i="15"/>
  <c r="AF105" i="15"/>
  <c r="AG105" i="15"/>
  <c r="P106" i="15"/>
  <c r="R106" i="15"/>
  <c r="S106" i="15"/>
  <c r="W106" i="15"/>
  <c r="X106" i="15"/>
  <c r="Y106" i="15"/>
  <c r="Z106" i="15"/>
  <c r="AD106" i="15"/>
  <c r="AE106" i="15"/>
  <c r="AF106" i="15"/>
  <c r="AG106" i="15"/>
  <c r="P107" i="15"/>
  <c r="R107" i="15"/>
  <c r="S107" i="15"/>
  <c r="W107" i="15"/>
  <c r="X107" i="15"/>
  <c r="Y107" i="15"/>
  <c r="Z107" i="15"/>
  <c r="AD107" i="15"/>
  <c r="AE107" i="15"/>
  <c r="AF107" i="15"/>
  <c r="AG107" i="15"/>
  <c r="P108" i="15"/>
  <c r="R108" i="15"/>
  <c r="S108" i="15"/>
  <c r="W108" i="15"/>
  <c r="X108" i="15"/>
  <c r="Y108" i="15"/>
  <c r="Z108" i="15"/>
  <c r="AD108" i="15"/>
  <c r="AE108" i="15"/>
  <c r="AF108" i="15"/>
  <c r="AG108" i="15"/>
  <c r="P109" i="15"/>
  <c r="R109" i="15"/>
  <c r="S109" i="15"/>
  <c r="W109" i="15"/>
  <c r="X109" i="15"/>
  <c r="Y109" i="15"/>
  <c r="Z109" i="15"/>
  <c r="AD109" i="15"/>
  <c r="AE109" i="15"/>
  <c r="AF109" i="15"/>
  <c r="AG109" i="15"/>
  <c r="P110" i="15"/>
  <c r="R110" i="15"/>
  <c r="S110" i="15"/>
  <c r="W110" i="15"/>
  <c r="X110" i="15"/>
  <c r="Y110" i="15"/>
  <c r="Z110" i="15"/>
  <c r="AD110" i="15"/>
  <c r="AE110" i="15"/>
  <c r="AF110" i="15"/>
  <c r="AG110" i="15"/>
  <c r="P111" i="15"/>
  <c r="R111" i="15"/>
  <c r="S111" i="15"/>
  <c r="W111" i="15"/>
  <c r="X111" i="15"/>
  <c r="Y111" i="15"/>
  <c r="Z111" i="15"/>
  <c r="AD111" i="15"/>
  <c r="AE111" i="15"/>
  <c r="AF111" i="15"/>
  <c r="AG111" i="15"/>
  <c r="P112" i="15"/>
  <c r="R112" i="15"/>
  <c r="S112" i="15"/>
  <c r="W112" i="15"/>
  <c r="X112" i="15"/>
  <c r="Y112" i="15"/>
  <c r="Z112" i="15"/>
  <c r="AD112" i="15"/>
  <c r="AE112" i="15"/>
  <c r="AF112" i="15"/>
  <c r="AG112" i="15"/>
  <c r="P113" i="15"/>
  <c r="R113" i="15"/>
  <c r="S113" i="15"/>
  <c r="W113" i="15"/>
  <c r="X113" i="15"/>
  <c r="Y113" i="15"/>
  <c r="Z113" i="15"/>
  <c r="AD113" i="15"/>
  <c r="AE113" i="15"/>
  <c r="AF113" i="15"/>
  <c r="AG113" i="15"/>
  <c r="P114" i="15"/>
  <c r="R114" i="15"/>
  <c r="S114" i="15"/>
  <c r="W114" i="15"/>
  <c r="X114" i="15"/>
  <c r="Y114" i="15"/>
  <c r="Z114" i="15"/>
  <c r="AD114" i="15"/>
  <c r="AE114" i="15"/>
  <c r="AF114" i="15"/>
  <c r="AG114" i="15"/>
  <c r="P115" i="15"/>
  <c r="R115" i="15"/>
  <c r="S115" i="15"/>
  <c r="W115" i="15"/>
  <c r="X115" i="15"/>
  <c r="Y115" i="15"/>
  <c r="Z115" i="15"/>
  <c r="AD115" i="15"/>
  <c r="AE115" i="15"/>
  <c r="AF115" i="15"/>
  <c r="AG115" i="15"/>
  <c r="P116" i="15"/>
  <c r="R116" i="15"/>
  <c r="S116" i="15"/>
  <c r="W116" i="15"/>
  <c r="X116" i="15"/>
  <c r="Y116" i="15"/>
  <c r="Z116" i="15"/>
  <c r="AD116" i="15"/>
  <c r="AE116" i="15"/>
  <c r="AF116" i="15"/>
  <c r="AG116" i="15"/>
  <c r="P117" i="15"/>
  <c r="R117" i="15"/>
  <c r="S117" i="15"/>
  <c r="W117" i="15"/>
  <c r="X117" i="15"/>
  <c r="Y117" i="15"/>
  <c r="Z117" i="15"/>
  <c r="AD117" i="15"/>
  <c r="AE117" i="15"/>
  <c r="AF117" i="15"/>
  <c r="AG117" i="15"/>
  <c r="P118" i="15"/>
  <c r="R118" i="15"/>
  <c r="S118" i="15"/>
  <c r="W118" i="15"/>
  <c r="X118" i="15"/>
  <c r="Y118" i="15"/>
  <c r="Z118" i="15"/>
  <c r="AD118" i="15"/>
  <c r="AE118" i="15"/>
  <c r="AF118" i="15"/>
  <c r="AG118" i="15"/>
  <c r="P119" i="15"/>
  <c r="R119" i="15"/>
  <c r="S119" i="15"/>
  <c r="W119" i="15"/>
  <c r="X119" i="15"/>
  <c r="Y119" i="15"/>
  <c r="Z119" i="15"/>
  <c r="AD119" i="15"/>
  <c r="AE119" i="15"/>
  <c r="AF119" i="15"/>
  <c r="AG119" i="15"/>
  <c r="P120" i="15"/>
  <c r="R120" i="15"/>
  <c r="S120" i="15"/>
  <c r="W120" i="15"/>
  <c r="X120" i="15"/>
  <c r="Y120" i="15"/>
  <c r="Z120" i="15"/>
  <c r="AD120" i="15"/>
  <c r="AE120" i="15"/>
  <c r="AF120" i="15"/>
  <c r="AG120" i="15"/>
  <c r="P121" i="15"/>
  <c r="R121" i="15"/>
  <c r="S121" i="15"/>
  <c r="W121" i="15"/>
  <c r="X121" i="15"/>
  <c r="Y121" i="15"/>
  <c r="Z121" i="15"/>
  <c r="AD121" i="15"/>
  <c r="AE121" i="15"/>
  <c r="AF121" i="15"/>
  <c r="AG121" i="15"/>
  <c r="P122" i="15"/>
  <c r="R122" i="15"/>
  <c r="S122" i="15"/>
  <c r="W122" i="15"/>
  <c r="X122" i="15"/>
  <c r="Y122" i="15"/>
  <c r="Z122" i="15"/>
  <c r="AD122" i="15"/>
  <c r="AE122" i="15"/>
  <c r="AF122" i="15"/>
  <c r="AG122" i="15"/>
  <c r="P123" i="15"/>
  <c r="R123" i="15"/>
  <c r="S123" i="15"/>
  <c r="W123" i="15"/>
  <c r="X123" i="15"/>
  <c r="Y123" i="15"/>
  <c r="Z123" i="15"/>
  <c r="AD123" i="15"/>
  <c r="AE123" i="15"/>
  <c r="AF123" i="15"/>
  <c r="AG123" i="15"/>
  <c r="P124" i="15"/>
  <c r="R124" i="15"/>
  <c r="S124" i="15"/>
  <c r="W124" i="15"/>
  <c r="X124" i="15"/>
  <c r="Y124" i="15"/>
  <c r="Z124" i="15"/>
  <c r="AD124" i="15"/>
  <c r="AE124" i="15"/>
  <c r="AF124" i="15"/>
  <c r="AG124" i="15"/>
  <c r="P125" i="15"/>
  <c r="R125" i="15"/>
  <c r="S125" i="15"/>
  <c r="W125" i="15"/>
  <c r="X125" i="15"/>
  <c r="Y125" i="15"/>
  <c r="Z125" i="15"/>
  <c r="AD125" i="15"/>
  <c r="AE125" i="15"/>
  <c r="AF125" i="15"/>
  <c r="AG125" i="15"/>
  <c r="P126" i="15"/>
  <c r="R126" i="15"/>
  <c r="S126" i="15"/>
  <c r="W126" i="15"/>
  <c r="X126" i="15"/>
  <c r="Y126" i="15"/>
  <c r="Z126" i="15"/>
  <c r="AD126" i="15"/>
  <c r="AE126" i="15"/>
  <c r="AF126" i="15"/>
  <c r="AG126" i="15"/>
  <c r="P127" i="15"/>
  <c r="R127" i="15"/>
  <c r="S127" i="15"/>
  <c r="W127" i="15"/>
  <c r="X127" i="15"/>
  <c r="Y127" i="15"/>
  <c r="Z127" i="15"/>
  <c r="AD127" i="15"/>
  <c r="AE127" i="15"/>
  <c r="AF127" i="15"/>
  <c r="AG127" i="15"/>
  <c r="P128" i="15"/>
  <c r="R128" i="15"/>
  <c r="S128" i="15"/>
  <c r="W128" i="15"/>
  <c r="X128" i="15"/>
  <c r="Y128" i="15"/>
  <c r="Z128" i="15"/>
  <c r="AD128" i="15"/>
  <c r="AE128" i="15"/>
  <c r="AF128" i="15"/>
  <c r="AG128" i="15"/>
  <c r="P129" i="15"/>
  <c r="R129" i="15"/>
  <c r="S129" i="15"/>
  <c r="W129" i="15"/>
  <c r="X129" i="15"/>
  <c r="Y129" i="15"/>
  <c r="Z129" i="15"/>
  <c r="AD129" i="15"/>
  <c r="AE129" i="15"/>
  <c r="AF129" i="15"/>
  <c r="AG129" i="15"/>
  <c r="P130" i="15"/>
  <c r="R130" i="15"/>
  <c r="S130" i="15"/>
  <c r="W130" i="15"/>
  <c r="X130" i="15"/>
  <c r="Y130" i="15"/>
  <c r="Z130" i="15"/>
  <c r="AD130" i="15"/>
  <c r="AE130" i="15"/>
  <c r="AF130" i="15"/>
  <c r="AG130" i="15"/>
  <c r="P131" i="15"/>
  <c r="R131" i="15"/>
  <c r="S131" i="15"/>
  <c r="W131" i="15"/>
  <c r="X131" i="15"/>
  <c r="Y131" i="15"/>
  <c r="Z131" i="15"/>
  <c r="AD131" i="15"/>
  <c r="AE131" i="15"/>
  <c r="AF131" i="15"/>
  <c r="AG131" i="15"/>
  <c r="P132" i="15"/>
  <c r="R132" i="15"/>
  <c r="S132" i="15"/>
  <c r="W132" i="15"/>
  <c r="X132" i="15"/>
  <c r="Y132" i="15"/>
  <c r="Z132" i="15"/>
  <c r="AD132" i="15"/>
  <c r="AE132" i="15"/>
  <c r="AF132" i="15"/>
  <c r="AG132" i="15"/>
  <c r="P133" i="15"/>
  <c r="R133" i="15"/>
  <c r="S133" i="15"/>
  <c r="W133" i="15"/>
  <c r="X133" i="15"/>
  <c r="Y133" i="15"/>
  <c r="Z133" i="15"/>
  <c r="AD133" i="15"/>
  <c r="AE133" i="15"/>
  <c r="AF133" i="15"/>
  <c r="AG133" i="15"/>
  <c r="P134" i="15"/>
  <c r="R134" i="15"/>
  <c r="S134" i="15"/>
  <c r="W134" i="15"/>
  <c r="X134" i="15"/>
  <c r="Y134" i="15"/>
  <c r="Z134" i="15"/>
  <c r="AD134" i="15"/>
  <c r="AE134" i="15"/>
  <c r="AF134" i="15"/>
  <c r="AG134" i="15"/>
  <c r="P135" i="15"/>
  <c r="R135" i="15"/>
  <c r="S135" i="15"/>
  <c r="W135" i="15"/>
  <c r="X135" i="15"/>
  <c r="Y135" i="15"/>
  <c r="Z135" i="15"/>
  <c r="AD135" i="15"/>
  <c r="AE135" i="15"/>
  <c r="AF135" i="15"/>
  <c r="AG135" i="15"/>
  <c r="P136" i="15"/>
  <c r="R136" i="15"/>
  <c r="S136" i="15"/>
  <c r="W136" i="15"/>
  <c r="X136" i="15"/>
  <c r="Y136" i="15"/>
  <c r="Z136" i="15"/>
  <c r="AD136" i="15"/>
  <c r="AE136" i="15"/>
  <c r="AF136" i="15"/>
  <c r="AG136" i="15"/>
  <c r="P137" i="15"/>
  <c r="R137" i="15"/>
  <c r="S137" i="15"/>
  <c r="W137" i="15"/>
  <c r="X137" i="15"/>
  <c r="Y137" i="15"/>
  <c r="Z137" i="15"/>
  <c r="AD137" i="15"/>
  <c r="AE137" i="15"/>
  <c r="AF137" i="15"/>
  <c r="AG137" i="15"/>
  <c r="P138" i="15"/>
  <c r="R138" i="15"/>
  <c r="S138" i="15"/>
  <c r="W138" i="15"/>
  <c r="X138" i="15"/>
  <c r="Y138" i="15"/>
  <c r="Z138" i="15"/>
  <c r="AD138" i="15"/>
  <c r="AE138" i="15"/>
  <c r="AF138" i="15"/>
  <c r="AG138" i="15"/>
  <c r="P139" i="15"/>
  <c r="R139" i="15"/>
  <c r="S139" i="15"/>
  <c r="W139" i="15"/>
  <c r="X139" i="15"/>
  <c r="Y139" i="15"/>
  <c r="Z139" i="15"/>
  <c r="AD139" i="15"/>
  <c r="AE139" i="15"/>
  <c r="AF139" i="15"/>
  <c r="AG139" i="15"/>
  <c r="P140" i="15"/>
  <c r="R140" i="15"/>
  <c r="S140" i="15"/>
  <c r="W140" i="15"/>
  <c r="X140" i="15"/>
  <c r="Y140" i="15"/>
  <c r="Z140" i="15"/>
  <c r="AD140" i="15"/>
  <c r="AE140" i="15"/>
  <c r="AF140" i="15"/>
  <c r="AG140" i="15"/>
  <c r="P141" i="15"/>
  <c r="R141" i="15"/>
  <c r="S141" i="15"/>
  <c r="W141" i="15"/>
  <c r="X141" i="15"/>
  <c r="Y141" i="15"/>
  <c r="Z141" i="15"/>
  <c r="AD141" i="15"/>
  <c r="AE141" i="15"/>
  <c r="AF141" i="15"/>
  <c r="AG141" i="15"/>
  <c r="P142" i="15"/>
  <c r="R142" i="15"/>
  <c r="S142" i="15"/>
  <c r="W142" i="15"/>
  <c r="X142" i="15"/>
  <c r="Y142" i="15"/>
  <c r="Z142" i="15"/>
  <c r="AD142" i="15"/>
  <c r="AE142" i="15"/>
  <c r="AF142" i="15"/>
  <c r="AG142" i="15"/>
  <c r="P143" i="15"/>
  <c r="R143" i="15"/>
  <c r="S143" i="15"/>
  <c r="W143" i="15"/>
  <c r="X143" i="15"/>
  <c r="Y143" i="15"/>
  <c r="Z143" i="15"/>
  <c r="AD143" i="15"/>
  <c r="AE143" i="15"/>
  <c r="AF143" i="15"/>
  <c r="AG143" i="15"/>
  <c r="P144" i="15"/>
  <c r="R144" i="15"/>
  <c r="S144" i="15"/>
  <c r="W144" i="15"/>
  <c r="X144" i="15"/>
  <c r="Y144" i="15"/>
  <c r="Z144" i="15"/>
  <c r="AD144" i="15"/>
  <c r="AE144" i="15"/>
  <c r="AF144" i="15"/>
  <c r="AG144" i="15"/>
  <c r="P145" i="15"/>
  <c r="R145" i="15"/>
  <c r="S145" i="15"/>
  <c r="W145" i="15"/>
  <c r="X145" i="15"/>
  <c r="Y145" i="15"/>
  <c r="Z145" i="15"/>
  <c r="AD145" i="15"/>
  <c r="AE145" i="15"/>
  <c r="AF145" i="15"/>
  <c r="AG145" i="15"/>
  <c r="P146" i="15"/>
  <c r="R146" i="15"/>
  <c r="S146" i="15"/>
  <c r="W146" i="15"/>
  <c r="X146" i="15"/>
  <c r="Y146" i="15"/>
  <c r="Z146" i="15"/>
  <c r="AD146" i="15"/>
  <c r="AE146" i="15"/>
  <c r="AF146" i="15"/>
  <c r="AG146" i="15"/>
  <c r="P147" i="15"/>
  <c r="R147" i="15"/>
  <c r="S147" i="15"/>
  <c r="W147" i="15"/>
  <c r="X147" i="15"/>
  <c r="Y147" i="15"/>
  <c r="Z147" i="15"/>
  <c r="AD147" i="15"/>
  <c r="AE147" i="15"/>
  <c r="AF147" i="15"/>
  <c r="AG147" i="15"/>
  <c r="P148" i="15"/>
  <c r="R148" i="15"/>
  <c r="S148" i="15"/>
  <c r="W148" i="15"/>
  <c r="X148" i="15"/>
  <c r="Y148" i="15"/>
  <c r="Z148" i="15"/>
  <c r="AD148" i="15"/>
  <c r="AE148" i="15"/>
  <c r="AF148" i="15"/>
  <c r="AG148" i="15"/>
  <c r="P149" i="15"/>
  <c r="R149" i="15"/>
  <c r="S149" i="15"/>
  <c r="W149" i="15"/>
  <c r="X149" i="15"/>
  <c r="Y149" i="15"/>
  <c r="Z149" i="15"/>
  <c r="AD149" i="15"/>
  <c r="AE149" i="15"/>
  <c r="AF149" i="15"/>
  <c r="AG149" i="15"/>
  <c r="P150" i="15"/>
  <c r="R150" i="15"/>
  <c r="S150" i="15"/>
  <c r="W150" i="15"/>
  <c r="X150" i="15"/>
  <c r="Y150" i="15"/>
  <c r="Z150" i="15"/>
  <c r="AD150" i="15"/>
  <c r="AE150" i="15"/>
  <c r="AF150" i="15"/>
  <c r="AG150" i="15"/>
  <c r="P151" i="15"/>
  <c r="R151" i="15"/>
  <c r="S151" i="15"/>
  <c r="W151" i="15"/>
  <c r="X151" i="15"/>
  <c r="Y151" i="15"/>
  <c r="Z151" i="15"/>
  <c r="AD151" i="15"/>
  <c r="AE151" i="15"/>
  <c r="AF151" i="15"/>
  <c r="AG151" i="15"/>
  <c r="P152" i="15"/>
  <c r="R152" i="15"/>
  <c r="S152" i="15"/>
  <c r="W152" i="15"/>
  <c r="X152" i="15"/>
  <c r="Y152" i="15"/>
  <c r="Z152" i="15"/>
  <c r="AD152" i="15"/>
  <c r="AE152" i="15"/>
  <c r="AF152" i="15"/>
  <c r="AG152" i="15"/>
  <c r="P153" i="15"/>
  <c r="R153" i="15"/>
  <c r="S153" i="15"/>
  <c r="W153" i="15"/>
  <c r="X153" i="15"/>
  <c r="Y153" i="15"/>
  <c r="Z153" i="15"/>
  <c r="AD153" i="15"/>
  <c r="AE153" i="15"/>
  <c r="AF153" i="15"/>
  <c r="AG153" i="15"/>
  <c r="P154" i="15"/>
  <c r="R154" i="15"/>
  <c r="S154" i="15"/>
  <c r="W154" i="15"/>
  <c r="X154" i="15"/>
  <c r="Y154" i="15"/>
  <c r="Z154" i="15"/>
  <c r="AD154" i="15"/>
  <c r="AE154" i="15"/>
  <c r="AF154" i="15"/>
  <c r="AG154" i="15"/>
  <c r="P155" i="15"/>
  <c r="R155" i="15"/>
  <c r="S155" i="15"/>
  <c r="W155" i="15"/>
  <c r="X155" i="15"/>
  <c r="Y155" i="15"/>
  <c r="Z155" i="15"/>
  <c r="AD155" i="15"/>
  <c r="AE155" i="15"/>
  <c r="AF155" i="15"/>
  <c r="AG155" i="15"/>
  <c r="P156" i="15"/>
  <c r="R156" i="15"/>
  <c r="S156" i="15"/>
  <c r="W156" i="15"/>
  <c r="X156" i="15"/>
  <c r="Y156" i="15"/>
  <c r="Z156" i="15"/>
  <c r="AD156" i="15"/>
  <c r="AE156" i="15"/>
  <c r="AF156" i="15"/>
  <c r="AG156" i="15"/>
  <c r="P157" i="15"/>
  <c r="R157" i="15"/>
  <c r="S157" i="15"/>
  <c r="W157" i="15"/>
  <c r="X157" i="15"/>
  <c r="Y157" i="15"/>
  <c r="Z157" i="15"/>
  <c r="AD157" i="15"/>
  <c r="AE157" i="15"/>
  <c r="AF157" i="15"/>
  <c r="AG157" i="15"/>
  <c r="P158" i="15"/>
  <c r="R158" i="15"/>
  <c r="S158" i="15"/>
  <c r="W158" i="15"/>
  <c r="X158" i="15"/>
  <c r="Y158" i="15"/>
  <c r="Z158" i="15"/>
  <c r="AD158" i="15"/>
  <c r="AE158" i="15"/>
  <c r="AF158" i="15"/>
  <c r="AG158" i="15"/>
  <c r="P159" i="15"/>
  <c r="R159" i="15"/>
  <c r="S159" i="15"/>
  <c r="W159" i="15"/>
  <c r="X159" i="15"/>
  <c r="Y159" i="15"/>
  <c r="Z159" i="15"/>
  <c r="AD159" i="15"/>
  <c r="AE159" i="15"/>
  <c r="AF159" i="15"/>
  <c r="AG159" i="15"/>
  <c r="P160" i="15"/>
  <c r="R160" i="15"/>
  <c r="S160" i="15"/>
  <c r="W160" i="15"/>
  <c r="X160" i="15"/>
  <c r="Y160" i="15"/>
  <c r="Z160" i="15"/>
  <c r="AD160" i="15"/>
  <c r="AE160" i="15"/>
  <c r="AF160" i="15"/>
  <c r="AG160" i="15"/>
  <c r="P161" i="15"/>
  <c r="R161" i="15"/>
  <c r="S161" i="15"/>
  <c r="W161" i="15"/>
  <c r="X161" i="15"/>
  <c r="Y161" i="15"/>
  <c r="Z161" i="15"/>
  <c r="AD161" i="15"/>
  <c r="AE161" i="15"/>
  <c r="AF161" i="15"/>
  <c r="AG161" i="15"/>
  <c r="P162" i="15"/>
  <c r="R162" i="15"/>
  <c r="S162" i="15"/>
  <c r="W162" i="15"/>
  <c r="X162" i="15"/>
  <c r="Y162" i="15"/>
  <c r="Z162" i="15"/>
  <c r="AD162" i="15"/>
  <c r="AE162" i="15"/>
  <c r="AF162" i="15"/>
  <c r="AG162" i="15"/>
  <c r="P163" i="15"/>
  <c r="R163" i="15"/>
  <c r="S163" i="15"/>
  <c r="W163" i="15"/>
  <c r="X163" i="15"/>
  <c r="Y163" i="15"/>
  <c r="Z163" i="15"/>
  <c r="AD163" i="15"/>
  <c r="AE163" i="15"/>
  <c r="AF163" i="15"/>
  <c r="AG163" i="15"/>
  <c r="P164" i="15"/>
  <c r="R164" i="15"/>
  <c r="S164" i="15"/>
  <c r="W164" i="15"/>
  <c r="X164" i="15"/>
  <c r="Y164" i="15"/>
  <c r="Z164" i="15"/>
  <c r="AD164" i="15"/>
  <c r="AE164" i="15"/>
  <c r="AF164" i="15"/>
  <c r="AG164" i="15"/>
  <c r="P165" i="15"/>
  <c r="R165" i="15"/>
  <c r="S165" i="15"/>
  <c r="W165" i="15"/>
  <c r="X165" i="15"/>
  <c r="Y165" i="15"/>
  <c r="Z165" i="15"/>
  <c r="AD165" i="15"/>
  <c r="AE165" i="15"/>
  <c r="AF165" i="15"/>
  <c r="AG165" i="15"/>
  <c r="P166" i="15"/>
  <c r="R166" i="15"/>
  <c r="S166" i="15"/>
  <c r="W166" i="15"/>
  <c r="X166" i="15"/>
  <c r="Y166" i="15"/>
  <c r="Z166" i="15"/>
  <c r="AD166" i="15"/>
  <c r="AE166" i="15"/>
  <c r="AF166" i="15"/>
  <c r="AG166" i="15"/>
  <c r="P167" i="15"/>
  <c r="R167" i="15"/>
  <c r="S167" i="15"/>
  <c r="W167" i="15"/>
  <c r="X167" i="15"/>
  <c r="Y167" i="15"/>
  <c r="Z167" i="15"/>
  <c r="AD167" i="15"/>
  <c r="AE167" i="15"/>
  <c r="AF167" i="15"/>
  <c r="AG167" i="15"/>
  <c r="P168" i="15"/>
  <c r="R168" i="15"/>
  <c r="S168" i="15"/>
  <c r="W168" i="15"/>
  <c r="X168" i="15"/>
  <c r="Y168" i="15"/>
  <c r="Z168" i="15"/>
  <c r="AD168" i="15"/>
  <c r="AE168" i="15"/>
  <c r="AF168" i="15"/>
  <c r="AG168" i="15"/>
  <c r="P169" i="15"/>
  <c r="R169" i="15"/>
  <c r="S169" i="15"/>
  <c r="W169" i="15"/>
  <c r="X169" i="15"/>
  <c r="Y169" i="15"/>
  <c r="Z169" i="15"/>
  <c r="AD169" i="15"/>
  <c r="AE169" i="15"/>
  <c r="AF169" i="15"/>
  <c r="AG169" i="15"/>
  <c r="P170" i="15"/>
  <c r="R170" i="15"/>
  <c r="S170" i="15"/>
  <c r="W170" i="15"/>
  <c r="X170" i="15"/>
  <c r="Y170" i="15"/>
  <c r="Z170" i="15"/>
  <c r="AD170" i="15"/>
  <c r="AE170" i="15"/>
  <c r="AF170" i="15"/>
  <c r="AG170" i="15"/>
  <c r="P171" i="15"/>
  <c r="R171" i="15"/>
  <c r="S171" i="15"/>
  <c r="W171" i="15"/>
  <c r="X171" i="15"/>
  <c r="Y171" i="15"/>
  <c r="Z171" i="15"/>
  <c r="AD171" i="15"/>
  <c r="AE171" i="15"/>
  <c r="AF171" i="15"/>
  <c r="AG171" i="15"/>
  <c r="P172" i="15"/>
  <c r="R172" i="15"/>
  <c r="S172" i="15"/>
  <c r="W172" i="15"/>
  <c r="X172" i="15"/>
  <c r="Y172" i="15"/>
  <c r="Z172" i="15"/>
  <c r="AD172" i="15"/>
  <c r="AE172" i="15"/>
  <c r="AF172" i="15"/>
  <c r="AG172" i="15"/>
  <c r="P173" i="15"/>
  <c r="R173" i="15"/>
  <c r="S173" i="15"/>
  <c r="W173" i="15"/>
  <c r="X173" i="15"/>
  <c r="Y173" i="15"/>
  <c r="Z173" i="15"/>
  <c r="AD173" i="15"/>
  <c r="AE173" i="15"/>
  <c r="AF173" i="15"/>
  <c r="AG173" i="15"/>
  <c r="P174" i="15"/>
  <c r="R174" i="15"/>
  <c r="S174" i="15"/>
  <c r="W174" i="15"/>
  <c r="X174" i="15"/>
  <c r="Y174" i="15"/>
  <c r="Z174" i="15"/>
  <c r="AD174" i="15"/>
  <c r="AE174" i="15"/>
  <c r="AF174" i="15"/>
  <c r="AG174" i="15"/>
  <c r="P175" i="15"/>
  <c r="R175" i="15"/>
  <c r="S175" i="15"/>
  <c r="W175" i="15"/>
  <c r="X175" i="15"/>
  <c r="Y175" i="15"/>
  <c r="Z175" i="15"/>
  <c r="AD175" i="15"/>
  <c r="AE175" i="15"/>
  <c r="AF175" i="15"/>
  <c r="AG175" i="15"/>
  <c r="P176" i="15"/>
  <c r="R176" i="15"/>
  <c r="S176" i="15"/>
  <c r="W176" i="15"/>
  <c r="X176" i="15"/>
  <c r="Y176" i="15"/>
  <c r="Z176" i="15"/>
  <c r="AD176" i="15"/>
  <c r="AE176" i="15"/>
  <c r="AF176" i="15"/>
  <c r="AG176" i="15"/>
  <c r="P177" i="15"/>
  <c r="R177" i="15"/>
  <c r="S177" i="15"/>
  <c r="W177" i="15"/>
  <c r="X177" i="15"/>
  <c r="Y177" i="15"/>
  <c r="Z177" i="15"/>
  <c r="AD177" i="15"/>
  <c r="AE177" i="15"/>
  <c r="AF177" i="15"/>
  <c r="AG177" i="15"/>
  <c r="P178" i="15"/>
  <c r="R178" i="15"/>
  <c r="S178" i="15"/>
  <c r="W178" i="15"/>
  <c r="X178" i="15"/>
  <c r="Y178" i="15"/>
  <c r="Z178" i="15"/>
  <c r="AD178" i="15"/>
  <c r="AE178" i="15"/>
  <c r="AF178" i="15"/>
  <c r="AG178" i="15"/>
  <c r="P179" i="15"/>
  <c r="R179" i="15"/>
  <c r="S179" i="15"/>
  <c r="W179" i="15"/>
  <c r="X179" i="15"/>
  <c r="Y179" i="15"/>
  <c r="Z179" i="15"/>
  <c r="AD179" i="15"/>
  <c r="AE179" i="15"/>
  <c r="AF179" i="15"/>
  <c r="AG179" i="15"/>
  <c r="P180" i="15"/>
  <c r="R180" i="15"/>
  <c r="S180" i="15"/>
  <c r="W180" i="15"/>
  <c r="X180" i="15"/>
  <c r="Y180" i="15"/>
  <c r="Z180" i="15"/>
  <c r="AD180" i="15"/>
  <c r="AE180" i="15"/>
  <c r="AF180" i="15"/>
  <c r="AG180" i="15"/>
  <c r="P181" i="15"/>
  <c r="R181" i="15"/>
  <c r="S181" i="15"/>
  <c r="W181" i="15"/>
  <c r="X181" i="15"/>
  <c r="Y181" i="15"/>
  <c r="Z181" i="15"/>
  <c r="AD181" i="15"/>
  <c r="AE181" i="15"/>
  <c r="AF181" i="15"/>
  <c r="AG181" i="15"/>
  <c r="P182" i="15"/>
  <c r="R182" i="15"/>
  <c r="S182" i="15"/>
  <c r="W182" i="15"/>
  <c r="X182" i="15"/>
  <c r="Y182" i="15"/>
  <c r="Z182" i="15"/>
  <c r="AD182" i="15"/>
  <c r="AE182" i="15"/>
  <c r="AF182" i="15"/>
  <c r="AG182" i="15"/>
  <c r="P183" i="15"/>
  <c r="R183" i="15"/>
  <c r="S183" i="15"/>
  <c r="W183" i="15"/>
  <c r="X183" i="15"/>
  <c r="Y183" i="15"/>
  <c r="Z183" i="15"/>
  <c r="AD183" i="15"/>
  <c r="AE183" i="15"/>
  <c r="AF183" i="15"/>
  <c r="AG183" i="15"/>
  <c r="P184" i="15"/>
  <c r="R184" i="15"/>
  <c r="S184" i="15"/>
  <c r="W184" i="15"/>
  <c r="X184" i="15"/>
  <c r="Y184" i="15"/>
  <c r="Z184" i="15"/>
  <c r="AD184" i="15"/>
  <c r="AE184" i="15"/>
  <c r="AF184" i="15"/>
  <c r="AG184" i="15"/>
  <c r="P185" i="15"/>
  <c r="R185" i="15"/>
  <c r="S185" i="15"/>
  <c r="W185" i="15"/>
  <c r="X185" i="15"/>
  <c r="Y185" i="15"/>
  <c r="Z185" i="15"/>
  <c r="AD185" i="15"/>
  <c r="AE185" i="15"/>
  <c r="AF185" i="15"/>
  <c r="AG185" i="15"/>
  <c r="P186" i="15"/>
  <c r="R186" i="15"/>
  <c r="S186" i="15"/>
  <c r="W186" i="15"/>
  <c r="X186" i="15"/>
  <c r="Y186" i="15"/>
  <c r="Z186" i="15"/>
  <c r="AD186" i="15"/>
  <c r="AE186" i="15"/>
  <c r="AF186" i="15"/>
  <c r="AG186" i="15"/>
  <c r="P187" i="15"/>
  <c r="R187" i="15"/>
  <c r="S187" i="15"/>
  <c r="W187" i="15"/>
  <c r="X187" i="15"/>
  <c r="Y187" i="15"/>
  <c r="Z187" i="15"/>
  <c r="AD187" i="15"/>
  <c r="AE187" i="15"/>
  <c r="AF187" i="15"/>
  <c r="AG187" i="15"/>
  <c r="P188" i="15"/>
  <c r="R188" i="15"/>
  <c r="S188" i="15"/>
  <c r="W188" i="15"/>
  <c r="X188" i="15"/>
  <c r="Y188" i="15"/>
  <c r="Z188" i="15"/>
  <c r="AD188" i="15"/>
  <c r="AE188" i="15"/>
  <c r="AF188" i="15"/>
  <c r="AG188" i="15"/>
  <c r="P189" i="15"/>
  <c r="R189" i="15"/>
  <c r="S189" i="15"/>
  <c r="W189" i="15"/>
  <c r="X189" i="15"/>
  <c r="Y189" i="15"/>
  <c r="Z189" i="15"/>
  <c r="AD189" i="15"/>
  <c r="AE189" i="15"/>
  <c r="AF189" i="15"/>
  <c r="AG189" i="15"/>
  <c r="P190" i="15"/>
  <c r="R190" i="15"/>
  <c r="S190" i="15"/>
  <c r="W190" i="15"/>
  <c r="X190" i="15"/>
  <c r="Y190" i="15"/>
  <c r="Z190" i="15"/>
  <c r="AD190" i="15"/>
  <c r="AE190" i="15"/>
  <c r="AF190" i="15"/>
  <c r="AG190" i="15"/>
  <c r="P191" i="15"/>
  <c r="R191" i="15"/>
  <c r="S191" i="15"/>
  <c r="W191" i="15"/>
  <c r="X191" i="15"/>
  <c r="Y191" i="15"/>
  <c r="Z191" i="15"/>
  <c r="AD191" i="15"/>
  <c r="AE191" i="15"/>
  <c r="AF191" i="15"/>
  <c r="AG191" i="15"/>
  <c r="P192" i="15"/>
  <c r="R192" i="15"/>
  <c r="S192" i="15"/>
  <c r="W192" i="15"/>
  <c r="X192" i="15"/>
  <c r="Y192" i="15"/>
  <c r="Z192" i="15"/>
  <c r="AD192" i="15"/>
  <c r="AE192" i="15"/>
  <c r="AF192" i="15"/>
  <c r="AG192" i="15"/>
  <c r="P193" i="15"/>
  <c r="R193" i="15"/>
  <c r="S193" i="15"/>
  <c r="W193" i="15"/>
  <c r="X193" i="15"/>
  <c r="Y193" i="15"/>
  <c r="Z193" i="15"/>
  <c r="AD193" i="15"/>
  <c r="AE193" i="15"/>
  <c r="AF193" i="15"/>
  <c r="AG193" i="15"/>
  <c r="P194" i="15"/>
  <c r="R194" i="15"/>
  <c r="S194" i="15"/>
  <c r="W194" i="15"/>
  <c r="X194" i="15"/>
  <c r="Y194" i="15"/>
  <c r="Z194" i="15"/>
  <c r="AD194" i="15"/>
  <c r="AE194" i="15"/>
  <c r="AF194" i="15"/>
  <c r="AG194" i="15"/>
  <c r="P195" i="15"/>
  <c r="R195" i="15"/>
  <c r="S195" i="15"/>
  <c r="W195" i="15"/>
  <c r="X195" i="15"/>
  <c r="Y195" i="15"/>
  <c r="Z195" i="15"/>
  <c r="AD195" i="15"/>
  <c r="AE195" i="15"/>
  <c r="AF195" i="15"/>
  <c r="AG195" i="15"/>
  <c r="P196" i="15"/>
  <c r="R196" i="15"/>
  <c r="S196" i="15"/>
  <c r="W196" i="15"/>
  <c r="X196" i="15"/>
  <c r="Y196" i="15"/>
  <c r="Z196" i="15"/>
  <c r="AD196" i="15"/>
  <c r="AE196" i="15"/>
  <c r="AF196" i="15"/>
  <c r="AG196" i="15"/>
  <c r="P197" i="15"/>
  <c r="R197" i="15"/>
  <c r="S197" i="15"/>
  <c r="W197" i="15"/>
  <c r="X197" i="15"/>
  <c r="Y197" i="15"/>
  <c r="Z197" i="15"/>
  <c r="AD197" i="15"/>
  <c r="AE197" i="15"/>
  <c r="AF197" i="15"/>
  <c r="AG197" i="15"/>
  <c r="P198" i="15"/>
  <c r="R198" i="15"/>
  <c r="S198" i="15"/>
  <c r="W198" i="15"/>
  <c r="X198" i="15"/>
  <c r="Y198" i="15"/>
  <c r="Z198" i="15"/>
  <c r="AD198" i="15"/>
  <c r="AE198" i="15"/>
  <c r="AF198" i="15"/>
  <c r="AG198" i="15"/>
  <c r="P199" i="15"/>
  <c r="R199" i="15"/>
  <c r="S199" i="15"/>
  <c r="W199" i="15"/>
  <c r="X199" i="15"/>
  <c r="Y199" i="15"/>
  <c r="Z199" i="15"/>
  <c r="AD199" i="15"/>
  <c r="AE199" i="15"/>
  <c r="AF199" i="15"/>
  <c r="AG199" i="15"/>
  <c r="P200" i="15"/>
  <c r="R200" i="15"/>
  <c r="S200" i="15"/>
  <c r="W200" i="15"/>
  <c r="X200" i="15"/>
  <c r="Y200" i="15"/>
  <c r="Z200" i="15"/>
  <c r="AD200" i="15"/>
  <c r="AE200" i="15"/>
  <c r="AF200" i="15"/>
  <c r="AG200" i="15"/>
  <c r="P201" i="15"/>
  <c r="R201" i="15"/>
  <c r="S201" i="15"/>
  <c r="W201" i="15"/>
  <c r="X201" i="15"/>
  <c r="Y201" i="15"/>
  <c r="Z201" i="15"/>
  <c r="AD201" i="15"/>
  <c r="AE201" i="15"/>
  <c r="AF201" i="15"/>
  <c r="AG201" i="15"/>
  <c r="P202" i="15"/>
  <c r="R202" i="15"/>
  <c r="S202" i="15"/>
  <c r="W202" i="15"/>
  <c r="X202" i="15"/>
  <c r="Y202" i="15"/>
  <c r="Z202" i="15"/>
  <c r="AD202" i="15"/>
  <c r="AE202" i="15"/>
  <c r="AF202" i="15"/>
  <c r="AG202" i="15"/>
  <c r="P203" i="15"/>
  <c r="R203" i="15"/>
  <c r="S203" i="15"/>
  <c r="W203" i="15"/>
  <c r="X203" i="15"/>
  <c r="Y203" i="15"/>
  <c r="Z203" i="15"/>
  <c r="AD203" i="15"/>
  <c r="AE203" i="15"/>
  <c r="AF203" i="15"/>
  <c r="AG203" i="15"/>
  <c r="P204" i="15"/>
  <c r="R204" i="15"/>
  <c r="S204" i="15"/>
  <c r="W204" i="15"/>
  <c r="X204" i="15"/>
  <c r="Y204" i="15"/>
  <c r="Z204" i="15"/>
  <c r="AD204" i="15"/>
  <c r="AE204" i="15"/>
  <c r="AF204" i="15"/>
  <c r="AG204" i="15"/>
  <c r="P205" i="15"/>
  <c r="R205" i="15"/>
  <c r="S205" i="15"/>
  <c r="W205" i="15"/>
  <c r="X205" i="15"/>
  <c r="Y205" i="15"/>
  <c r="Z205" i="15"/>
  <c r="AD205" i="15"/>
  <c r="AE205" i="15"/>
  <c r="AF205" i="15"/>
  <c r="AG205" i="15"/>
  <c r="P206" i="15"/>
  <c r="R206" i="15"/>
  <c r="S206" i="15"/>
  <c r="W206" i="15"/>
  <c r="X206" i="15"/>
  <c r="Y206" i="15"/>
  <c r="Z206" i="15"/>
  <c r="AD206" i="15"/>
  <c r="AE206" i="15"/>
  <c r="AF206" i="15"/>
  <c r="AG206" i="15"/>
  <c r="P207" i="15"/>
  <c r="R207" i="15"/>
  <c r="S207" i="15"/>
  <c r="W207" i="15"/>
  <c r="X207" i="15"/>
  <c r="Y207" i="15"/>
  <c r="Z207" i="15"/>
  <c r="AD207" i="15"/>
  <c r="AE207" i="15"/>
  <c r="AF207" i="15"/>
  <c r="AG207" i="15"/>
  <c r="P208" i="15"/>
  <c r="R208" i="15"/>
  <c r="S208" i="15"/>
  <c r="W208" i="15"/>
  <c r="X208" i="15"/>
  <c r="Y208" i="15"/>
  <c r="Z208" i="15"/>
  <c r="AD208" i="15"/>
  <c r="AE208" i="15"/>
  <c r="AF208" i="15"/>
  <c r="AG208" i="15"/>
  <c r="P209" i="15"/>
  <c r="R209" i="15"/>
  <c r="S209" i="15"/>
  <c r="W209" i="15"/>
  <c r="X209" i="15"/>
  <c r="Y209" i="15"/>
  <c r="Z209" i="15"/>
  <c r="AD209" i="15"/>
  <c r="AE209" i="15"/>
  <c r="AF209" i="15"/>
  <c r="AG209" i="15"/>
  <c r="P210" i="15"/>
  <c r="R210" i="15"/>
  <c r="S210" i="15"/>
  <c r="W210" i="15"/>
  <c r="X210" i="15"/>
  <c r="Y210" i="15"/>
  <c r="Z210" i="15"/>
  <c r="AD210" i="15"/>
  <c r="AE210" i="15"/>
  <c r="AF210" i="15"/>
  <c r="AG210" i="15"/>
  <c r="P211" i="15"/>
  <c r="R211" i="15"/>
  <c r="S211" i="15"/>
  <c r="W211" i="15"/>
  <c r="X211" i="15"/>
  <c r="Y211" i="15"/>
  <c r="Z211" i="15"/>
  <c r="AD211" i="15"/>
  <c r="AE211" i="15"/>
  <c r="AF211" i="15"/>
  <c r="AG211" i="15"/>
  <c r="P212" i="15"/>
  <c r="R212" i="15"/>
  <c r="S212" i="15"/>
  <c r="W212" i="15"/>
  <c r="X212" i="15"/>
  <c r="Y212" i="15"/>
  <c r="Z212" i="15"/>
  <c r="AD212" i="15"/>
  <c r="AE212" i="15"/>
  <c r="AF212" i="15"/>
  <c r="AG212" i="15"/>
  <c r="P213" i="15"/>
  <c r="R213" i="15"/>
  <c r="S213" i="15"/>
  <c r="W213" i="15"/>
  <c r="X213" i="15"/>
  <c r="Y213" i="15"/>
  <c r="Z213" i="15"/>
  <c r="AD213" i="15"/>
  <c r="AE213" i="15"/>
  <c r="AF213" i="15"/>
  <c r="AG213" i="15"/>
  <c r="P214" i="15"/>
  <c r="R214" i="15"/>
  <c r="S214" i="15"/>
  <c r="W214" i="15"/>
  <c r="X214" i="15"/>
  <c r="Y214" i="15"/>
  <c r="Z214" i="15"/>
  <c r="AD214" i="15"/>
  <c r="AE214" i="15"/>
  <c r="AF214" i="15"/>
  <c r="AG214" i="15"/>
  <c r="P215" i="15"/>
  <c r="R215" i="15"/>
  <c r="S215" i="15"/>
  <c r="W215" i="15"/>
  <c r="X215" i="15"/>
  <c r="Y215" i="15"/>
  <c r="Z215" i="15"/>
  <c r="AD215" i="15"/>
  <c r="AE215" i="15"/>
  <c r="AF215" i="15"/>
  <c r="AG215" i="15"/>
  <c r="P216" i="15"/>
  <c r="R216" i="15"/>
  <c r="S216" i="15"/>
  <c r="W216" i="15"/>
  <c r="X216" i="15"/>
  <c r="Y216" i="15"/>
  <c r="Z216" i="15"/>
  <c r="AD216" i="15"/>
  <c r="AE216" i="15"/>
  <c r="AF216" i="15"/>
  <c r="AG216" i="15"/>
  <c r="P217" i="15"/>
  <c r="R217" i="15"/>
  <c r="S217" i="15"/>
  <c r="W217" i="15"/>
  <c r="X217" i="15"/>
  <c r="Y217" i="15"/>
  <c r="Z217" i="15"/>
  <c r="AD217" i="15"/>
  <c r="AE217" i="15"/>
  <c r="AF217" i="15"/>
  <c r="AG217" i="15"/>
  <c r="P218" i="15"/>
  <c r="R218" i="15"/>
  <c r="S218" i="15"/>
  <c r="W218" i="15"/>
  <c r="X218" i="15"/>
  <c r="Y218" i="15"/>
  <c r="Z218" i="15"/>
  <c r="AD218" i="15"/>
  <c r="AE218" i="15"/>
  <c r="AF218" i="15"/>
  <c r="AG218" i="15"/>
  <c r="P219" i="15"/>
  <c r="R219" i="15"/>
  <c r="S219" i="15"/>
  <c r="W219" i="15"/>
  <c r="X219" i="15"/>
  <c r="Y219" i="15"/>
  <c r="Z219" i="15"/>
  <c r="AD219" i="15"/>
  <c r="AE219" i="15"/>
  <c r="AF219" i="15"/>
  <c r="AG219" i="15"/>
  <c r="P220" i="15"/>
  <c r="R220" i="15"/>
  <c r="S220" i="15"/>
  <c r="W220" i="15"/>
  <c r="X220" i="15"/>
  <c r="Y220" i="15"/>
  <c r="Z220" i="15"/>
  <c r="AD220" i="15"/>
  <c r="AE220" i="15"/>
  <c r="AF220" i="15"/>
  <c r="AG220" i="15"/>
  <c r="P221" i="15"/>
  <c r="R221" i="15"/>
  <c r="S221" i="15"/>
  <c r="W221" i="15"/>
  <c r="X221" i="15"/>
  <c r="Y221" i="15"/>
  <c r="Z221" i="15"/>
  <c r="AD221" i="15"/>
  <c r="AE221" i="15"/>
  <c r="AF221" i="15"/>
  <c r="AG221" i="15"/>
  <c r="P222" i="15"/>
  <c r="R222" i="15"/>
  <c r="S222" i="15"/>
  <c r="W222" i="15"/>
  <c r="X222" i="15"/>
  <c r="Y222" i="15"/>
  <c r="Z222" i="15"/>
  <c r="AD222" i="15"/>
  <c r="AE222" i="15"/>
  <c r="AF222" i="15"/>
  <c r="AG222" i="15"/>
  <c r="P223" i="15"/>
  <c r="R223" i="15"/>
  <c r="S223" i="15"/>
  <c r="W223" i="15"/>
  <c r="X223" i="15"/>
  <c r="Y223" i="15"/>
  <c r="Z223" i="15"/>
  <c r="AD223" i="15"/>
  <c r="AE223" i="15"/>
  <c r="AF223" i="15"/>
  <c r="AG223" i="15"/>
  <c r="P224" i="15"/>
  <c r="R224" i="15"/>
  <c r="S224" i="15"/>
  <c r="W224" i="15"/>
  <c r="X224" i="15"/>
  <c r="Y224" i="15"/>
  <c r="Z224" i="15"/>
  <c r="AD224" i="15"/>
  <c r="AE224" i="15"/>
  <c r="AF224" i="15"/>
  <c r="AG224" i="15"/>
  <c r="P225" i="15"/>
  <c r="R225" i="15"/>
  <c r="S225" i="15"/>
  <c r="W225" i="15"/>
  <c r="X225" i="15"/>
  <c r="Y225" i="15"/>
  <c r="Z225" i="15"/>
  <c r="AD225" i="15"/>
  <c r="AE225" i="15"/>
  <c r="AF225" i="15"/>
  <c r="AG225" i="15"/>
  <c r="P226" i="15"/>
  <c r="R226" i="15"/>
  <c r="S226" i="15"/>
  <c r="W226" i="15"/>
  <c r="X226" i="15"/>
  <c r="Y226" i="15"/>
  <c r="Z226" i="15"/>
  <c r="AD226" i="15"/>
  <c r="AE226" i="15"/>
  <c r="AF226" i="15"/>
  <c r="AG226" i="15"/>
  <c r="P227" i="15"/>
  <c r="R227" i="15"/>
  <c r="S227" i="15"/>
  <c r="W227" i="15"/>
  <c r="X227" i="15"/>
  <c r="Y227" i="15"/>
  <c r="Z227" i="15"/>
  <c r="AD227" i="15"/>
  <c r="AE227" i="15"/>
  <c r="AF227" i="15"/>
  <c r="AG227" i="15"/>
  <c r="P228" i="15"/>
  <c r="R228" i="15"/>
  <c r="S228" i="15"/>
  <c r="W228" i="15"/>
  <c r="X228" i="15"/>
  <c r="Y228" i="15"/>
  <c r="Z228" i="15"/>
  <c r="AD228" i="15"/>
  <c r="AE228" i="15"/>
  <c r="AF228" i="15"/>
  <c r="AG228" i="15"/>
  <c r="P229" i="15"/>
  <c r="R229" i="15"/>
  <c r="S229" i="15"/>
  <c r="W229" i="15"/>
  <c r="X229" i="15"/>
  <c r="Y229" i="15"/>
  <c r="Z229" i="15"/>
  <c r="AD229" i="15"/>
  <c r="AE229" i="15"/>
  <c r="AF229" i="15"/>
  <c r="AG229" i="15"/>
  <c r="P230" i="15"/>
  <c r="R230" i="15"/>
  <c r="S230" i="15"/>
  <c r="W230" i="15"/>
  <c r="X230" i="15"/>
  <c r="Y230" i="15"/>
  <c r="Z230" i="15"/>
  <c r="AD230" i="15"/>
  <c r="AE230" i="15"/>
  <c r="AF230" i="15"/>
  <c r="AG230" i="15"/>
  <c r="P231" i="15"/>
  <c r="R231" i="15"/>
  <c r="S231" i="15"/>
  <c r="W231" i="15"/>
  <c r="X231" i="15"/>
  <c r="Y231" i="15"/>
  <c r="Z231" i="15"/>
  <c r="AD231" i="15"/>
  <c r="AE231" i="15"/>
  <c r="AF231" i="15"/>
  <c r="AG231" i="15"/>
  <c r="P232" i="15"/>
  <c r="R232" i="15"/>
  <c r="S232" i="15"/>
  <c r="W232" i="15"/>
  <c r="X232" i="15"/>
  <c r="Y232" i="15"/>
  <c r="Z232" i="15"/>
  <c r="AD232" i="15"/>
  <c r="AE232" i="15"/>
  <c r="AF232" i="15"/>
  <c r="AG232" i="15"/>
  <c r="P233" i="15"/>
  <c r="R233" i="15"/>
  <c r="S233" i="15"/>
  <c r="W233" i="15"/>
  <c r="X233" i="15"/>
  <c r="Y233" i="15"/>
  <c r="Z233" i="15"/>
  <c r="AD233" i="15"/>
  <c r="AE233" i="15"/>
  <c r="AF233" i="15"/>
  <c r="AG233" i="15"/>
  <c r="P234" i="15"/>
  <c r="R234" i="15"/>
  <c r="S234" i="15"/>
  <c r="W234" i="15"/>
  <c r="X234" i="15"/>
  <c r="Y234" i="15"/>
  <c r="Z234" i="15"/>
  <c r="AD234" i="15"/>
  <c r="AE234" i="15"/>
  <c r="AF234" i="15"/>
  <c r="AG234" i="15"/>
  <c r="P235" i="15"/>
  <c r="R235" i="15"/>
  <c r="S235" i="15"/>
  <c r="W235" i="15"/>
  <c r="X235" i="15"/>
  <c r="Y235" i="15"/>
  <c r="Z235" i="15"/>
  <c r="AD235" i="15"/>
  <c r="AE235" i="15"/>
  <c r="AF235" i="15"/>
  <c r="AG235" i="15"/>
  <c r="P236" i="15"/>
  <c r="R236" i="15"/>
  <c r="S236" i="15"/>
  <c r="W236" i="15"/>
  <c r="X236" i="15"/>
  <c r="Y236" i="15"/>
  <c r="Z236" i="15"/>
  <c r="AD236" i="15"/>
  <c r="AE236" i="15"/>
  <c r="AF236" i="15"/>
  <c r="AG236" i="15"/>
  <c r="P237" i="15"/>
  <c r="R237" i="15"/>
  <c r="S237" i="15"/>
  <c r="W237" i="15"/>
  <c r="X237" i="15"/>
  <c r="Y237" i="15"/>
  <c r="Z237" i="15"/>
  <c r="AD237" i="15"/>
  <c r="AE237" i="15"/>
  <c r="AF237" i="15"/>
  <c r="AG237" i="15"/>
  <c r="P238" i="15"/>
  <c r="R238" i="15"/>
  <c r="S238" i="15"/>
  <c r="W238" i="15"/>
  <c r="X238" i="15"/>
  <c r="Y238" i="15"/>
  <c r="Z238" i="15"/>
  <c r="AD238" i="15"/>
  <c r="AE238" i="15"/>
  <c r="AF238" i="15"/>
  <c r="AG238" i="15"/>
  <c r="P239" i="15"/>
  <c r="R239" i="15"/>
  <c r="S239" i="15"/>
  <c r="W239" i="15"/>
  <c r="X239" i="15"/>
  <c r="Y239" i="15"/>
  <c r="Z239" i="15"/>
  <c r="AD239" i="15"/>
  <c r="AE239" i="15"/>
  <c r="AF239" i="15"/>
  <c r="AG239" i="15"/>
  <c r="P240" i="15"/>
  <c r="R240" i="15"/>
  <c r="S240" i="15"/>
  <c r="W240" i="15"/>
  <c r="X240" i="15"/>
  <c r="Y240" i="15"/>
  <c r="Z240" i="15"/>
  <c r="AD240" i="15"/>
  <c r="AE240" i="15"/>
  <c r="AF240" i="15"/>
  <c r="AG240" i="15"/>
  <c r="P241" i="15"/>
  <c r="R241" i="15"/>
  <c r="S241" i="15"/>
  <c r="W241" i="15"/>
  <c r="X241" i="15"/>
  <c r="Y241" i="15"/>
  <c r="Z241" i="15"/>
  <c r="AD241" i="15"/>
  <c r="AE241" i="15"/>
  <c r="AF241" i="15"/>
  <c r="AG241" i="15"/>
  <c r="P242" i="15"/>
  <c r="R242" i="15"/>
  <c r="S242" i="15"/>
  <c r="W242" i="15"/>
  <c r="X242" i="15"/>
  <c r="Y242" i="15"/>
  <c r="Z242" i="15"/>
  <c r="AD242" i="15"/>
  <c r="AE242" i="15"/>
  <c r="AF242" i="15"/>
  <c r="AG242" i="15"/>
  <c r="P243" i="15"/>
  <c r="R243" i="15"/>
  <c r="S243" i="15"/>
  <c r="W243" i="15"/>
  <c r="X243" i="15"/>
  <c r="Y243" i="15"/>
  <c r="Z243" i="15"/>
  <c r="AD243" i="15"/>
  <c r="AE243" i="15"/>
  <c r="AF243" i="15"/>
  <c r="AG243" i="15"/>
  <c r="P244" i="15"/>
  <c r="R244" i="15"/>
  <c r="S244" i="15"/>
  <c r="W244" i="15"/>
  <c r="X244" i="15"/>
  <c r="Y244" i="15"/>
  <c r="Z244" i="15"/>
  <c r="AD244" i="15"/>
  <c r="AE244" i="15"/>
  <c r="AF244" i="15"/>
  <c r="AG244" i="15"/>
  <c r="P245" i="15"/>
  <c r="R245" i="15"/>
  <c r="S245" i="15"/>
  <c r="W245" i="15"/>
  <c r="X245" i="15"/>
  <c r="Y245" i="15"/>
  <c r="Z245" i="15"/>
  <c r="AD245" i="15"/>
  <c r="AE245" i="15"/>
  <c r="AF245" i="15"/>
  <c r="AG245" i="15"/>
  <c r="P246" i="15"/>
  <c r="R246" i="15"/>
  <c r="S246" i="15"/>
  <c r="W246" i="15"/>
  <c r="X246" i="15"/>
  <c r="Y246" i="15"/>
  <c r="Z246" i="15"/>
  <c r="AD246" i="15"/>
  <c r="AE246" i="15"/>
  <c r="AF246" i="15"/>
  <c r="AG246" i="15"/>
  <c r="P247" i="15"/>
  <c r="R247" i="15"/>
  <c r="S247" i="15"/>
  <c r="W247" i="15"/>
  <c r="X247" i="15"/>
  <c r="Y247" i="15"/>
  <c r="Z247" i="15"/>
  <c r="AD247" i="15"/>
  <c r="AE247" i="15"/>
  <c r="AF247" i="15"/>
  <c r="AG247" i="15"/>
  <c r="P248" i="15"/>
  <c r="R248" i="15"/>
  <c r="S248" i="15"/>
  <c r="W248" i="15"/>
  <c r="X248" i="15"/>
  <c r="Y248" i="15"/>
  <c r="Z248" i="15"/>
  <c r="AD248" i="15"/>
  <c r="AE248" i="15"/>
  <c r="AF248" i="15"/>
  <c r="AG248" i="15"/>
  <c r="P249" i="15"/>
  <c r="R249" i="15"/>
  <c r="S249" i="15"/>
  <c r="W249" i="15"/>
  <c r="X249" i="15"/>
  <c r="Y249" i="15"/>
  <c r="Z249" i="15"/>
  <c r="AD249" i="15"/>
  <c r="AE249" i="15"/>
  <c r="AF249" i="15"/>
  <c r="AG249" i="15"/>
  <c r="P250" i="15"/>
  <c r="R250" i="15"/>
  <c r="S250" i="15"/>
  <c r="W250" i="15"/>
  <c r="X250" i="15"/>
  <c r="Y250" i="15"/>
  <c r="Z250" i="15"/>
  <c r="AD250" i="15"/>
  <c r="AE250" i="15"/>
  <c r="AF250" i="15"/>
  <c r="AG250" i="15"/>
  <c r="P251" i="15"/>
  <c r="R251" i="15"/>
  <c r="S251" i="15"/>
  <c r="W251" i="15"/>
  <c r="X251" i="15"/>
  <c r="Y251" i="15"/>
  <c r="Z251" i="15"/>
  <c r="AD251" i="15"/>
  <c r="AE251" i="15"/>
  <c r="AF251" i="15"/>
  <c r="AG251" i="15"/>
  <c r="P252" i="15"/>
  <c r="R252" i="15"/>
  <c r="S252" i="15"/>
  <c r="W252" i="15"/>
  <c r="X252" i="15"/>
  <c r="Y252" i="15"/>
  <c r="Z252" i="15"/>
  <c r="AD252" i="15"/>
  <c r="AE252" i="15"/>
  <c r="AF252" i="15"/>
  <c r="AG252" i="15"/>
  <c r="P253" i="15"/>
  <c r="R253" i="15"/>
  <c r="S253" i="15"/>
  <c r="W253" i="15"/>
  <c r="X253" i="15"/>
  <c r="Y253" i="15"/>
  <c r="Z253" i="15"/>
  <c r="AD253" i="15"/>
  <c r="AE253" i="15"/>
  <c r="AF253" i="15"/>
  <c r="AG253" i="15"/>
  <c r="P254" i="15"/>
  <c r="R254" i="15"/>
  <c r="S254" i="15"/>
  <c r="W254" i="15"/>
  <c r="X254" i="15"/>
  <c r="Y254" i="15"/>
  <c r="Z254" i="15"/>
  <c r="AD254" i="15"/>
  <c r="AE254" i="15"/>
  <c r="AF254" i="15"/>
  <c r="AG254" i="15"/>
  <c r="P255" i="15"/>
  <c r="R255" i="15"/>
  <c r="S255" i="15"/>
  <c r="W255" i="15"/>
  <c r="X255" i="15"/>
  <c r="Y255" i="15"/>
  <c r="Z255" i="15"/>
  <c r="AD255" i="15"/>
  <c r="AE255" i="15"/>
  <c r="AF255" i="15"/>
  <c r="AG255" i="15"/>
  <c r="D9" i="15"/>
  <c r="E49" i="24" s="1"/>
  <c r="Z7" i="24" s="1"/>
  <c r="D16" i="15"/>
  <c r="D31" i="15"/>
  <c r="AH31" i="15" s="1"/>
  <c r="D41" i="15"/>
  <c r="D68" i="15"/>
  <c r="D69" i="15"/>
  <c r="D70" i="15"/>
  <c r="D71" i="15"/>
  <c r="T71" i="15" s="1"/>
  <c r="D72" i="15"/>
  <c r="D73" i="15"/>
  <c r="D74" i="15"/>
  <c r="D75" i="15"/>
  <c r="D76" i="15"/>
  <c r="D77" i="15"/>
  <c r="D78" i="15"/>
  <c r="D79" i="15"/>
  <c r="D80" i="15"/>
  <c r="D81" i="15"/>
  <c r="D82" i="15"/>
  <c r="D83" i="15"/>
  <c r="T83" i="15" s="1"/>
  <c r="D84" i="15"/>
  <c r="D85" i="15"/>
  <c r="D86" i="15"/>
  <c r="D87" i="15"/>
  <c r="AH87" i="15" s="1"/>
  <c r="D88" i="15"/>
  <c r="D89" i="15"/>
  <c r="D90" i="15"/>
  <c r="D91" i="15"/>
  <c r="D92" i="15"/>
  <c r="D93" i="15"/>
  <c r="D94" i="15"/>
  <c r="D95" i="15"/>
  <c r="D96" i="15"/>
  <c r="D97" i="15"/>
  <c r="D98" i="15"/>
  <c r="D99" i="15"/>
  <c r="AA99" i="15" s="1"/>
  <c r="D100" i="15"/>
  <c r="D101" i="15"/>
  <c r="D102" i="15"/>
  <c r="AH102" i="15" s="1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AH121" i="15" s="1"/>
  <c r="D122" i="15"/>
  <c r="D123" i="15"/>
  <c r="AH123" i="15" s="1"/>
  <c r="D124" i="15"/>
  <c r="D125" i="15"/>
  <c r="AH125" i="15" s="1"/>
  <c r="D126" i="15"/>
  <c r="D127" i="15"/>
  <c r="D128" i="15"/>
  <c r="D129" i="15"/>
  <c r="AA129" i="15" s="1"/>
  <c r="D130" i="15"/>
  <c r="D131" i="15"/>
  <c r="D132" i="15"/>
  <c r="D133" i="15"/>
  <c r="D134" i="15"/>
  <c r="D135" i="15"/>
  <c r="D136" i="15"/>
  <c r="D137" i="15"/>
  <c r="D138" i="15"/>
  <c r="D139" i="15"/>
  <c r="D140" i="15"/>
  <c r="T140" i="15" s="1"/>
  <c r="D141" i="15"/>
  <c r="D142" i="15"/>
  <c r="T142" i="15" s="1"/>
  <c r="D143" i="15"/>
  <c r="D144" i="15"/>
  <c r="D145" i="15"/>
  <c r="D146" i="15"/>
  <c r="T146" i="15" s="1"/>
  <c r="D147" i="15"/>
  <c r="D148" i="15"/>
  <c r="D149" i="15"/>
  <c r="D150" i="15"/>
  <c r="D151" i="15"/>
  <c r="AH151" i="15" s="1"/>
  <c r="D152" i="15"/>
  <c r="AH152" i="15" s="1"/>
  <c r="D153" i="15"/>
  <c r="D154" i="15"/>
  <c r="D155" i="15"/>
  <c r="AA155" i="15" s="1"/>
  <c r="D156" i="15"/>
  <c r="D157" i="15"/>
  <c r="D158" i="15"/>
  <c r="D159" i="15"/>
  <c r="D160" i="15"/>
  <c r="T160" i="15" s="1"/>
  <c r="D161" i="15"/>
  <c r="D162" i="15"/>
  <c r="AA162" i="15" s="1"/>
  <c r="D163" i="15"/>
  <c r="D164" i="15"/>
  <c r="AH164" i="15" s="1"/>
  <c r="D165" i="15"/>
  <c r="D166" i="15"/>
  <c r="D167" i="15"/>
  <c r="AA167" i="15" s="1"/>
  <c r="D168" i="15"/>
  <c r="AA168" i="15" s="1"/>
  <c r="D169" i="15"/>
  <c r="AA169" i="15" s="1"/>
  <c r="D170" i="15"/>
  <c r="AA170" i="15" s="1"/>
  <c r="D171" i="15"/>
  <c r="D172" i="15"/>
  <c r="AA172" i="15" s="1"/>
  <c r="D173" i="15"/>
  <c r="T173" i="15" s="1"/>
  <c r="D174" i="15"/>
  <c r="AA174" i="15" s="1"/>
  <c r="D175" i="15"/>
  <c r="AH175" i="15" s="1"/>
  <c r="D176" i="15"/>
  <c r="AH176" i="15" s="1"/>
  <c r="D177" i="15"/>
  <c r="AH177" i="15" s="1"/>
  <c r="D178" i="15"/>
  <c r="T178" i="15" s="1"/>
  <c r="D179" i="15"/>
  <c r="D180" i="15"/>
  <c r="T180" i="15" s="1"/>
  <c r="D181" i="15"/>
  <c r="AA181" i="15" s="1"/>
  <c r="D182" i="15"/>
  <c r="D183" i="15"/>
  <c r="AH183" i="15" s="1"/>
  <c r="D184" i="15"/>
  <c r="AH184" i="15" s="1"/>
  <c r="D185" i="15"/>
  <c r="T185" i="15" s="1"/>
  <c r="D186" i="15"/>
  <c r="AH186" i="15" s="1"/>
  <c r="D187" i="15"/>
  <c r="D188" i="15"/>
  <c r="AH188" i="15" s="1"/>
  <c r="D189" i="15"/>
  <c r="AA189" i="15" s="1"/>
  <c r="D190" i="15"/>
  <c r="AH190" i="15" s="1"/>
  <c r="D191" i="15"/>
  <c r="AA191" i="15" s="1"/>
  <c r="D192" i="15"/>
  <c r="AA192" i="15" s="1"/>
  <c r="D193" i="15"/>
  <c r="AH193" i="15" s="1"/>
  <c r="D194" i="15"/>
  <c r="AH194" i="15" s="1"/>
  <c r="D195" i="15"/>
  <c r="D196" i="15"/>
  <c r="AH196" i="15" s="1"/>
  <c r="D197" i="15"/>
  <c r="AA197" i="15" s="1"/>
  <c r="D198" i="15"/>
  <c r="AH198" i="15" s="1"/>
  <c r="D199" i="15"/>
  <c r="T199" i="15" s="1"/>
  <c r="D200" i="15"/>
  <c r="T200" i="15" s="1"/>
  <c r="D201" i="15"/>
  <c r="AH201" i="15" s="1"/>
  <c r="D202" i="15"/>
  <c r="AH202" i="15" s="1"/>
  <c r="D203" i="15"/>
  <c r="AH203" i="15" s="1"/>
  <c r="D204" i="15"/>
  <c r="AA204" i="15" s="1"/>
  <c r="D205" i="15"/>
  <c r="AH205" i="15" s="1"/>
  <c r="D206" i="15"/>
  <c r="AH206" i="15" s="1"/>
  <c r="D207" i="15"/>
  <c r="AA207" i="15" s="1"/>
  <c r="D208" i="15"/>
  <c r="T208" i="15" s="1"/>
  <c r="D209" i="15"/>
  <c r="T209" i="15" s="1"/>
  <c r="D210" i="15"/>
  <c r="T210" i="15" s="1"/>
  <c r="D211" i="15"/>
  <c r="AA211" i="15" s="1"/>
  <c r="D212" i="15"/>
  <c r="AH212" i="15" s="1"/>
  <c r="D213" i="15"/>
  <c r="AH213" i="15" s="1"/>
  <c r="D214" i="15"/>
  <c r="D215" i="15"/>
  <c r="AH215" i="15" s="1"/>
  <c r="D216" i="15"/>
  <c r="AH216" i="15" s="1"/>
  <c r="D217" i="15"/>
  <c r="AH217" i="15" s="1"/>
  <c r="D218" i="15"/>
  <c r="AA218" i="15" s="1"/>
  <c r="D219" i="15"/>
  <c r="D220" i="15"/>
  <c r="T220" i="15" s="1"/>
  <c r="D221" i="15"/>
  <c r="AA221" i="15" s="1"/>
  <c r="D222" i="15"/>
  <c r="D223" i="15"/>
  <c r="AH223" i="15" s="1"/>
  <c r="D224" i="15"/>
  <c r="AA224" i="15" s="1"/>
  <c r="D225" i="15"/>
  <c r="AA225" i="15" s="1"/>
  <c r="D226" i="15"/>
  <c r="AA226" i="15" s="1"/>
  <c r="D227" i="15"/>
  <c r="D228" i="15"/>
  <c r="AH228" i="15" s="1"/>
  <c r="D229" i="15"/>
  <c r="T229" i="15" s="1"/>
  <c r="D230" i="15"/>
  <c r="AH230" i="15" s="1"/>
  <c r="D231" i="15"/>
  <c r="AA231" i="15" s="1"/>
  <c r="D232" i="15"/>
  <c r="AA232" i="15" s="1"/>
  <c r="D233" i="15"/>
  <c r="AA233" i="15" s="1"/>
  <c r="D234" i="15"/>
  <c r="T234" i="15" s="1"/>
  <c r="D235" i="15"/>
  <c r="D236" i="15"/>
  <c r="AH236" i="15" s="1"/>
  <c r="D237" i="15"/>
  <c r="D238" i="15"/>
  <c r="AH238" i="15" s="1"/>
  <c r="D239" i="15"/>
  <c r="AA239" i="15" s="1"/>
  <c r="D240" i="15"/>
  <c r="AA240" i="15" s="1"/>
  <c r="D241" i="15"/>
  <c r="AA241" i="15" s="1"/>
  <c r="D242" i="15"/>
  <c r="AA242" i="15" s="1"/>
  <c r="D243" i="15"/>
  <c r="T243" i="15" s="1"/>
  <c r="D244" i="15"/>
  <c r="T244" i="15" s="1"/>
  <c r="D245" i="15"/>
  <c r="T245" i="15" s="1"/>
  <c r="D246" i="15"/>
  <c r="AA246" i="15" s="1"/>
  <c r="D247" i="15"/>
  <c r="AH247" i="15" s="1"/>
  <c r="D248" i="15"/>
  <c r="AH248" i="15" s="1"/>
  <c r="D249" i="15"/>
  <c r="AH249" i="15" s="1"/>
  <c r="D250" i="15"/>
  <c r="AA250" i="15" s="1"/>
  <c r="D251" i="15"/>
  <c r="D252" i="15"/>
  <c r="T252" i="15" s="1"/>
  <c r="D253" i="15"/>
  <c r="T253" i="15" s="1"/>
  <c r="D254" i="15"/>
  <c r="AA254" i="15" s="1"/>
  <c r="D255" i="15"/>
  <c r="T255" i="15" s="1"/>
  <c r="H7" i="15"/>
  <c r="AK7" i="15"/>
  <c r="AL7" i="15"/>
  <c r="D2" i="15"/>
  <c r="AA2" i="15" s="1"/>
  <c r="H161" i="15"/>
  <c r="I161" i="15"/>
  <c r="AK161" i="15"/>
  <c r="AL161" i="15"/>
  <c r="H9" i="15"/>
  <c r="AK9" i="15"/>
  <c r="AL9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H2" i="15"/>
  <c r="I2" i="15"/>
  <c r="P2" i="15"/>
  <c r="R2" i="15"/>
  <c r="S2" i="15"/>
  <c r="W2" i="15"/>
  <c r="X2" i="15"/>
  <c r="Y2" i="15"/>
  <c r="Z2" i="15"/>
  <c r="AD2" i="15"/>
  <c r="AE2" i="15"/>
  <c r="AF2" i="15"/>
  <c r="AG2" i="15"/>
  <c r="AK2" i="15"/>
  <c r="AL2" i="15"/>
  <c r="I41" i="15"/>
  <c r="I42" i="15"/>
  <c r="I44" i="15"/>
  <c r="I57" i="15"/>
  <c r="I58" i="15"/>
  <c r="I65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H5" i="15"/>
  <c r="H10" i="15"/>
  <c r="H16" i="15"/>
  <c r="H31" i="15"/>
  <c r="H32" i="15"/>
  <c r="H41" i="15"/>
  <c r="H44" i="15"/>
  <c r="H58" i="15"/>
  <c r="H65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AK4" i="15"/>
  <c r="AL4" i="15"/>
  <c r="AK5" i="15"/>
  <c r="AL5" i="15"/>
  <c r="AK8" i="15"/>
  <c r="AL8" i="15"/>
  <c r="AK10" i="15"/>
  <c r="AL10" i="15"/>
  <c r="AK16" i="15"/>
  <c r="AL16" i="15"/>
  <c r="AK18" i="15"/>
  <c r="AL18" i="15"/>
  <c r="AK31" i="15"/>
  <c r="AL31" i="15"/>
  <c r="AK32" i="15"/>
  <c r="AL32" i="15"/>
  <c r="AK41" i="15"/>
  <c r="AL41" i="15"/>
  <c r="AK42" i="15"/>
  <c r="AL42" i="15"/>
  <c r="AK44" i="15"/>
  <c r="AL44" i="15"/>
  <c r="AK58" i="15"/>
  <c r="AL58" i="15"/>
  <c r="AK59" i="15"/>
  <c r="AL59" i="15"/>
  <c r="AK62" i="15"/>
  <c r="AL62" i="15"/>
  <c r="AK65" i="15"/>
  <c r="AL65" i="15"/>
  <c r="AK67" i="15"/>
  <c r="AL67" i="15"/>
  <c r="AK68" i="15"/>
  <c r="AL68" i="15"/>
  <c r="AK69" i="15"/>
  <c r="AL69" i="15"/>
  <c r="AK70" i="15"/>
  <c r="AL70" i="15"/>
  <c r="AK71" i="15"/>
  <c r="AL71" i="15"/>
  <c r="AK72" i="15"/>
  <c r="AL72" i="15"/>
  <c r="AK73" i="15"/>
  <c r="AL73" i="15"/>
  <c r="AK74" i="15"/>
  <c r="AL74" i="15"/>
  <c r="AK75" i="15"/>
  <c r="AL75" i="15"/>
  <c r="AK76" i="15"/>
  <c r="AL76" i="15"/>
  <c r="AK77" i="15"/>
  <c r="AL77" i="15"/>
  <c r="AK78" i="15"/>
  <c r="AL78" i="15"/>
  <c r="AK79" i="15"/>
  <c r="AL79" i="15"/>
  <c r="AK80" i="15"/>
  <c r="AL80" i="15"/>
  <c r="AK81" i="15"/>
  <c r="AL81" i="15"/>
  <c r="AK82" i="15"/>
  <c r="AL82" i="15"/>
  <c r="AK83" i="15"/>
  <c r="AL83" i="15"/>
  <c r="AK84" i="15"/>
  <c r="AL84" i="15"/>
  <c r="AK85" i="15"/>
  <c r="AL85" i="15"/>
  <c r="AK86" i="15"/>
  <c r="AL86" i="15"/>
  <c r="AK87" i="15"/>
  <c r="AL87" i="15"/>
  <c r="AK88" i="15"/>
  <c r="AL88" i="15"/>
  <c r="AK89" i="15"/>
  <c r="AL89" i="15"/>
  <c r="AK90" i="15"/>
  <c r="AL90" i="15"/>
  <c r="AK91" i="15"/>
  <c r="AL91" i="15"/>
  <c r="AK92" i="15"/>
  <c r="AL92" i="15"/>
  <c r="AK93" i="15"/>
  <c r="AL93" i="15"/>
  <c r="AK94" i="15"/>
  <c r="AL94" i="15"/>
  <c r="AK95" i="15"/>
  <c r="AL95" i="15"/>
  <c r="AK96" i="15"/>
  <c r="AL96" i="15"/>
  <c r="AK97" i="15"/>
  <c r="AL97" i="15"/>
  <c r="AK98" i="15"/>
  <c r="AL98" i="15"/>
  <c r="AK99" i="15"/>
  <c r="AL99" i="15"/>
  <c r="AK100" i="15"/>
  <c r="AL100" i="15"/>
  <c r="AK101" i="15"/>
  <c r="AL101" i="15"/>
  <c r="AK102" i="15"/>
  <c r="AL102" i="15"/>
  <c r="AK103" i="15"/>
  <c r="AL103" i="15"/>
  <c r="AK104" i="15"/>
  <c r="AL104" i="15"/>
  <c r="AK105" i="15"/>
  <c r="AL105" i="15"/>
  <c r="AK106" i="15"/>
  <c r="AL106" i="15"/>
  <c r="AK107" i="15"/>
  <c r="AL107" i="15"/>
  <c r="AK108" i="15"/>
  <c r="AL108" i="15"/>
  <c r="AK109" i="15"/>
  <c r="AL109" i="15"/>
  <c r="AK110" i="15"/>
  <c r="AL110" i="15"/>
  <c r="AK111" i="15"/>
  <c r="AL111" i="15"/>
  <c r="AK112" i="15"/>
  <c r="AL112" i="15"/>
  <c r="AK113" i="15"/>
  <c r="AL113" i="15"/>
  <c r="AK114" i="15"/>
  <c r="AL114" i="15"/>
  <c r="AK115" i="15"/>
  <c r="AL115" i="15"/>
  <c r="AK116" i="15"/>
  <c r="AL116" i="15"/>
  <c r="AK117" i="15"/>
  <c r="AL117" i="15"/>
  <c r="AK118" i="15"/>
  <c r="AL118" i="15"/>
  <c r="AK119" i="15"/>
  <c r="AL119" i="15"/>
  <c r="AK120" i="15"/>
  <c r="AL120" i="15"/>
  <c r="AK121" i="15"/>
  <c r="AL121" i="15"/>
  <c r="AK122" i="15"/>
  <c r="AL122" i="15"/>
  <c r="AK123" i="15"/>
  <c r="AL123" i="15"/>
  <c r="AK124" i="15"/>
  <c r="AL124" i="15"/>
  <c r="AK125" i="15"/>
  <c r="AL125" i="15"/>
  <c r="AK126" i="15"/>
  <c r="AL126" i="15"/>
  <c r="AK127" i="15"/>
  <c r="AL127" i="15"/>
  <c r="AK128" i="15"/>
  <c r="AL128" i="15"/>
  <c r="AK129" i="15"/>
  <c r="AL129" i="15"/>
  <c r="AK130" i="15"/>
  <c r="AL130" i="15"/>
  <c r="AK131" i="15"/>
  <c r="AL131" i="15"/>
  <c r="AK132" i="15"/>
  <c r="AL132" i="15"/>
  <c r="AK133" i="15"/>
  <c r="AL133" i="15"/>
  <c r="AK134" i="15"/>
  <c r="AL134" i="15"/>
  <c r="AK135" i="15"/>
  <c r="AL135" i="15"/>
  <c r="AK136" i="15"/>
  <c r="AL136" i="15"/>
  <c r="AK137" i="15"/>
  <c r="AL137" i="15"/>
  <c r="AK138" i="15"/>
  <c r="AL138" i="15"/>
  <c r="AK139" i="15"/>
  <c r="AL139" i="15"/>
  <c r="AK140" i="15"/>
  <c r="AL140" i="15"/>
  <c r="AK141" i="15"/>
  <c r="AL141" i="15"/>
  <c r="AK142" i="15"/>
  <c r="AL142" i="15"/>
  <c r="AK143" i="15"/>
  <c r="AL143" i="15"/>
  <c r="AK144" i="15"/>
  <c r="AL144" i="15"/>
  <c r="AK145" i="15"/>
  <c r="AL145" i="15"/>
  <c r="AK146" i="15"/>
  <c r="AL146" i="15"/>
  <c r="AK147" i="15"/>
  <c r="AL147" i="15"/>
  <c r="AK148" i="15"/>
  <c r="AL148" i="15"/>
  <c r="AK149" i="15"/>
  <c r="AL149" i="15"/>
  <c r="AK150" i="15"/>
  <c r="AL150" i="15"/>
  <c r="AK151" i="15"/>
  <c r="AL151" i="15"/>
  <c r="AK152" i="15"/>
  <c r="AL152" i="15"/>
  <c r="AK153" i="15"/>
  <c r="AL153" i="15"/>
  <c r="AK154" i="15"/>
  <c r="AL154" i="15"/>
  <c r="AK155" i="15"/>
  <c r="AL155" i="15"/>
  <c r="AK156" i="15"/>
  <c r="AL156" i="15"/>
  <c r="AK157" i="15"/>
  <c r="AL157" i="15"/>
  <c r="AK158" i="15"/>
  <c r="AL158" i="15"/>
  <c r="AK159" i="15"/>
  <c r="AL159" i="15"/>
  <c r="AK160" i="15"/>
  <c r="AL160" i="15"/>
  <c r="AK162" i="15"/>
  <c r="AL162" i="15"/>
  <c r="AK163" i="15"/>
  <c r="AL163" i="15"/>
  <c r="AK164" i="15"/>
  <c r="AL164" i="15"/>
  <c r="AK165" i="15"/>
  <c r="AL165" i="15"/>
  <c r="AK166" i="15"/>
  <c r="AL166" i="15"/>
  <c r="AK167" i="15"/>
  <c r="AL167" i="15"/>
  <c r="AK168" i="15"/>
  <c r="AL168" i="15"/>
  <c r="AK169" i="15"/>
  <c r="AL169" i="15"/>
  <c r="AK170" i="15"/>
  <c r="AL170" i="15"/>
  <c r="AK171" i="15"/>
  <c r="AL171" i="15"/>
  <c r="AK172" i="15"/>
  <c r="AL172" i="15"/>
  <c r="AK173" i="15"/>
  <c r="AL173" i="15"/>
  <c r="AK174" i="15"/>
  <c r="AL174" i="15"/>
  <c r="AK175" i="15"/>
  <c r="AL175" i="15"/>
  <c r="AK176" i="15"/>
  <c r="AL176" i="15"/>
  <c r="AK177" i="15"/>
  <c r="AL177" i="15"/>
  <c r="AK178" i="15"/>
  <c r="AL178" i="15"/>
  <c r="AK179" i="15"/>
  <c r="AL179" i="15"/>
  <c r="AK180" i="15"/>
  <c r="AL180" i="15"/>
  <c r="AK181" i="15"/>
  <c r="AL181" i="15"/>
  <c r="AK182" i="15"/>
  <c r="AL182" i="15"/>
  <c r="AK183" i="15"/>
  <c r="AL183" i="15"/>
  <c r="AK184" i="15"/>
  <c r="AL184" i="15"/>
  <c r="AK185" i="15"/>
  <c r="AL185" i="15"/>
  <c r="AK186" i="15"/>
  <c r="AL186" i="15"/>
  <c r="AK187" i="15"/>
  <c r="AL187" i="15"/>
  <c r="AK188" i="15"/>
  <c r="AL188" i="15"/>
  <c r="AK189" i="15"/>
  <c r="AL189" i="15"/>
  <c r="AK190" i="15"/>
  <c r="AL190" i="15"/>
  <c r="AK191" i="15"/>
  <c r="AL191" i="15"/>
  <c r="AK192" i="15"/>
  <c r="AL192" i="15"/>
  <c r="AK193" i="15"/>
  <c r="AL193" i="15"/>
  <c r="AK194" i="15"/>
  <c r="AL194" i="15"/>
  <c r="AK195" i="15"/>
  <c r="AL195" i="15"/>
  <c r="AK196" i="15"/>
  <c r="AL196" i="15"/>
  <c r="AK197" i="15"/>
  <c r="AL197" i="15"/>
  <c r="AK198" i="15"/>
  <c r="AL198" i="15"/>
  <c r="AK199" i="15"/>
  <c r="AL199" i="15"/>
  <c r="AK200" i="15"/>
  <c r="AL200" i="15"/>
  <c r="AK201" i="15"/>
  <c r="AL201" i="15"/>
  <c r="AK202" i="15"/>
  <c r="AL202" i="15"/>
  <c r="AK203" i="15"/>
  <c r="AL203" i="15"/>
  <c r="AK204" i="15"/>
  <c r="AL204" i="15"/>
  <c r="AK205" i="15"/>
  <c r="AL205" i="15"/>
  <c r="AK206" i="15"/>
  <c r="AL206" i="15"/>
  <c r="AK207" i="15"/>
  <c r="AL207" i="15"/>
  <c r="AK208" i="15"/>
  <c r="AL208" i="15"/>
  <c r="AK209" i="15"/>
  <c r="AL209" i="15"/>
  <c r="AK210" i="15"/>
  <c r="AL210" i="15"/>
  <c r="AK211" i="15"/>
  <c r="AL211" i="15"/>
  <c r="AK212" i="15"/>
  <c r="AL212" i="15"/>
  <c r="AK213" i="15"/>
  <c r="AL213" i="15"/>
  <c r="AK214" i="15"/>
  <c r="AL214" i="15"/>
  <c r="AK215" i="15"/>
  <c r="AL215" i="15"/>
  <c r="AK216" i="15"/>
  <c r="AL216" i="15"/>
  <c r="AK217" i="15"/>
  <c r="AL217" i="15"/>
  <c r="AK218" i="15"/>
  <c r="AL218" i="15"/>
  <c r="AK219" i="15"/>
  <c r="AL219" i="15"/>
  <c r="AK220" i="15"/>
  <c r="AL220" i="15"/>
  <c r="AK221" i="15"/>
  <c r="AL221" i="15"/>
  <c r="AK222" i="15"/>
  <c r="AL222" i="15"/>
  <c r="AK223" i="15"/>
  <c r="AL223" i="15"/>
  <c r="AK224" i="15"/>
  <c r="AL224" i="15"/>
  <c r="AK225" i="15"/>
  <c r="AL225" i="15"/>
  <c r="AK226" i="15"/>
  <c r="AL226" i="15"/>
  <c r="AK227" i="15"/>
  <c r="AL227" i="15"/>
  <c r="AK228" i="15"/>
  <c r="AL228" i="15"/>
  <c r="AK229" i="15"/>
  <c r="AL229" i="15"/>
  <c r="AK230" i="15"/>
  <c r="AL230" i="15"/>
  <c r="AK231" i="15"/>
  <c r="AL231" i="15"/>
  <c r="AK232" i="15"/>
  <c r="AL232" i="15"/>
  <c r="AK233" i="15"/>
  <c r="AL233" i="15"/>
  <c r="AK234" i="15"/>
  <c r="AL234" i="15"/>
  <c r="AK235" i="15"/>
  <c r="AL235" i="15"/>
  <c r="AK236" i="15"/>
  <c r="AL236" i="15"/>
  <c r="AK237" i="15"/>
  <c r="AL237" i="15"/>
  <c r="AK238" i="15"/>
  <c r="AL238" i="15"/>
  <c r="AK239" i="15"/>
  <c r="AL239" i="15"/>
  <c r="F41" i="15"/>
  <c r="F42" i="15"/>
  <c r="F44" i="15"/>
  <c r="F57" i="15"/>
  <c r="F58" i="15"/>
  <c r="F59" i="15"/>
  <c r="F65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E3" i="20"/>
  <c r="E4" i="20"/>
  <c r="E5" i="20"/>
  <c r="P40" i="15" s="1"/>
  <c r="Q40" i="15" s="1"/>
  <c r="E2" i="20"/>
  <c r="P15" i="15" s="1"/>
  <c r="Q15" i="15" s="1"/>
  <c r="P2" i="14"/>
  <c r="AG9" i="21"/>
  <c r="AG15" i="21"/>
  <c r="AG19" i="21"/>
  <c r="AG29" i="21"/>
  <c r="AG30" i="21"/>
  <c r="AG34" i="21"/>
  <c r="AG44" i="21"/>
  <c r="AG2" i="21"/>
  <c r="AF9" i="21"/>
  <c r="AF15" i="21"/>
  <c r="AF19" i="21"/>
  <c r="AF29" i="21"/>
  <c r="AF30" i="21"/>
  <c r="AF34" i="21"/>
  <c r="AF44" i="21"/>
  <c r="AF2" i="21"/>
  <c r="Z9" i="21"/>
  <c r="Z15" i="21"/>
  <c r="Z19" i="21"/>
  <c r="Z29" i="21"/>
  <c r="Z30" i="21"/>
  <c r="Z34" i="21"/>
  <c r="Z44" i="21"/>
  <c r="Z2" i="21"/>
  <c r="Y9" i="21"/>
  <c r="Y15" i="21"/>
  <c r="Y19" i="21"/>
  <c r="Y29" i="21"/>
  <c r="Y30" i="21"/>
  <c r="Y34" i="21"/>
  <c r="Y44" i="21"/>
  <c r="Y2" i="21"/>
  <c r="S9" i="21"/>
  <c r="S15" i="21"/>
  <c r="S19" i="21"/>
  <c r="S29" i="21"/>
  <c r="S30" i="21"/>
  <c r="S34" i="21"/>
  <c r="S44" i="21"/>
  <c r="S2" i="21"/>
  <c r="R9" i="21"/>
  <c r="R15" i="21"/>
  <c r="R19" i="21"/>
  <c r="R29" i="21"/>
  <c r="R30" i="21"/>
  <c r="R34" i="21"/>
  <c r="R44" i="21"/>
  <c r="R2" i="21"/>
  <c r="T3" i="21"/>
  <c r="T4" i="21"/>
  <c r="T5" i="21"/>
  <c r="U5" i="21" s="1"/>
  <c r="T6" i="21"/>
  <c r="T7" i="21"/>
  <c r="U7" i="21" s="1"/>
  <c r="T9" i="21"/>
  <c r="T10" i="21"/>
  <c r="U10" i="21" s="1"/>
  <c r="T11" i="21"/>
  <c r="U11" i="21" s="1"/>
  <c r="T12" i="21"/>
  <c r="U12" i="21" s="1"/>
  <c r="T15" i="21"/>
  <c r="U15" i="21" s="1"/>
  <c r="T16" i="21"/>
  <c r="T19" i="21"/>
  <c r="T21" i="21"/>
  <c r="U21" i="21" s="1"/>
  <c r="T26" i="21"/>
  <c r="U26" i="21" s="1"/>
  <c r="T29" i="21"/>
  <c r="U29" i="21" s="1"/>
  <c r="T30" i="21"/>
  <c r="T32" i="21"/>
  <c r="T34" i="21"/>
  <c r="T38" i="21"/>
  <c r="T39" i="21"/>
  <c r="T44" i="21"/>
  <c r="U44" i="21" s="1"/>
  <c r="T46" i="21"/>
  <c r="T47" i="21"/>
  <c r="U47" i="21" s="1"/>
  <c r="T48" i="21"/>
  <c r="U48" i="21" s="1"/>
  <c r="T49" i="21"/>
  <c r="U49" i="21" s="1"/>
  <c r="T50" i="21"/>
  <c r="U50" i="21" s="1"/>
  <c r="T51" i="21"/>
  <c r="U51" i="21" s="1"/>
  <c r="T52" i="21"/>
  <c r="U52" i="21" s="1"/>
  <c r="T53" i="21"/>
  <c r="U53" i="21" s="1"/>
  <c r="T54" i="21"/>
  <c r="AA2" i="21"/>
  <c r="P3" i="21"/>
  <c r="Q3" i="21" s="1"/>
  <c r="AA3" i="21"/>
  <c r="AH3" i="21"/>
  <c r="P4" i="21"/>
  <c r="Q4" i="21" s="1"/>
  <c r="AA4" i="21"/>
  <c r="AH4" i="21"/>
  <c r="P5" i="21"/>
  <c r="Q5" i="21" s="1"/>
  <c r="W5" i="21"/>
  <c r="X5" i="21"/>
  <c r="AA5" i="21"/>
  <c r="AB5" i="21" s="1"/>
  <c r="AD5" i="21"/>
  <c r="AE5" i="21"/>
  <c r="AH5" i="21"/>
  <c r="AI5" i="21" s="1"/>
  <c r="AK5" i="21"/>
  <c r="AL5" i="21"/>
  <c r="P6" i="21"/>
  <c r="Q6" i="21" s="1"/>
  <c r="AA6" i="21"/>
  <c r="AB6" i="21" s="1"/>
  <c r="AH6" i="21"/>
  <c r="P7" i="21"/>
  <c r="Q7" i="21" s="1"/>
  <c r="AA7" i="21"/>
  <c r="AH7" i="21"/>
  <c r="P9" i="21"/>
  <c r="Q9" i="21" s="1"/>
  <c r="W9" i="21"/>
  <c r="X9" i="21"/>
  <c r="AA9" i="21"/>
  <c r="AD9" i="21"/>
  <c r="AE9" i="21"/>
  <c r="AH9" i="21"/>
  <c r="AK9" i="21"/>
  <c r="AL9" i="21"/>
  <c r="P10" i="21"/>
  <c r="Q10" i="21" s="1"/>
  <c r="AA10" i="21"/>
  <c r="AB10" i="21" s="1"/>
  <c r="AH10" i="21"/>
  <c r="AI10" i="21" s="1"/>
  <c r="P11" i="21"/>
  <c r="Q11" i="21" s="1"/>
  <c r="AA11" i="21"/>
  <c r="AB11" i="21" s="1"/>
  <c r="AH11" i="21"/>
  <c r="AI11" i="21" s="1"/>
  <c r="P12" i="21"/>
  <c r="Q12" i="21" s="1"/>
  <c r="AA12" i="21"/>
  <c r="AB12" i="21" s="1"/>
  <c r="AH12" i="21"/>
  <c r="P13" i="21"/>
  <c r="Q13" i="21" s="1"/>
  <c r="P14" i="21"/>
  <c r="Q14" i="21" s="1"/>
  <c r="P15" i="21"/>
  <c r="Q15" i="21" s="1"/>
  <c r="W15" i="21"/>
  <c r="X15" i="21"/>
  <c r="AA15" i="21"/>
  <c r="AD15" i="21"/>
  <c r="AE15" i="21"/>
  <c r="AH15" i="21"/>
  <c r="AI15" i="21" s="1"/>
  <c r="AK15" i="21"/>
  <c r="AL15" i="21"/>
  <c r="P16" i="21"/>
  <c r="Q16" i="21" s="1"/>
  <c r="AA16" i="21"/>
  <c r="AH16" i="21"/>
  <c r="AI16" i="21" s="1"/>
  <c r="P17" i="21"/>
  <c r="Q17" i="21" s="1"/>
  <c r="P18" i="21"/>
  <c r="Q18" i="21" s="1"/>
  <c r="P19" i="21"/>
  <c r="Q19" i="21" s="1"/>
  <c r="W19" i="21"/>
  <c r="X19" i="21"/>
  <c r="AA19" i="21"/>
  <c r="AB19" i="21" s="1"/>
  <c r="AD19" i="21"/>
  <c r="AE19" i="21"/>
  <c r="AH19" i="21"/>
  <c r="AI19" i="21" s="1"/>
  <c r="AK19" i="21"/>
  <c r="AL19" i="21"/>
  <c r="P20" i="21"/>
  <c r="Q20" i="21" s="1"/>
  <c r="W20" i="21"/>
  <c r="X20" i="21"/>
  <c r="AD20" i="21"/>
  <c r="AE20" i="21"/>
  <c r="AK20" i="21"/>
  <c r="AL20" i="21"/>
  <c r="P21" i="21"/>
  <c r="Q21" i="21" s="1"/>
  <c r="W21" i="21"/>
  <c r="X21" i="21"/>
  <c r="AA21" i="21"/>
  <c r="AB21" i="21" s="1"/>
  <c r="AD21" i="21"/>
  <c r="AE21" i="21"/>
  <c r="AH21" i="21"/>
  <c r="AI21" i="21" s="1"/>
  <c r="AK21" i="21"/>
  <c r="AL21" i="21"/>
  <c r="P22" i="21"/>
  <c r="Q22" i="21" s="1"/>
  <c r="W22" i="21"/>
  <c r="X22" i="21"/>
  <c r="AD22" i="21"/>
  <c r="AE22" i="21"/>
  <c r="AK22" i="21"/>
  <c r="AL22" i="21"/>
  <c r="P23" i="21"/>
  <c r="Q23" i="21" s="1"/>
  <c r="W23" i="21"/>
  <c r="X23" i="21"/>
  <c r="AD23" i="21"/>
  <c r="AE23" i="21"/>
  <c r="AK23" i="21"/>
  <c r="AL23" i="21"/>
  <c r="P24" i="21"/>
  <c r="Q24" i="21" s="1"/>
  <c r="W24" i="21"/>
  <c r="X24" i="21"/>
  <c r="AD24" i="21"/>
  <c r="AE24" i="21"/>
  <c r="AK24" i="21"/>
  <c r="AL24" i="21"/>
  <c r="P25" i="21"/>
  <c r="Q25" i="21" s="1"/>
  <c r="W25" i="21"/>
  <c r="X25" i="21"/>
  <c r="AD25" i="21"/>
  <c r="AE25" i="21"/>
  <c r="AK25" i="21"/>
  <c r="AL25" i="21"/>
  <c r="P26" i="21"/>
  <c r="Q26" i="21" s="1"/>
  <c r="W26" i="21"/>
  <c r="X26" i="21"/>
  <c r="AA26" i="21"/>
  <c r="AB26" i="21" s="1"/>
  <c r="AD26" i="21"/>
  <c r="AE26" i="21"/>
  <c r="AH26" i="21"/>
  <c r="AI26" i="21" s="1"/>
  <c r="AK26" i="21"/>
  <c r="AL26" i="21"/>
  <c r="P27" i="21"/>
  <c r="Q27" i="21" s="1"/>
  <c r="W27" i="21"/>
  <c r="X27" i="21"/>
  <c r="AD27" i="21"/>
  <c r="AE27" i="21"/>
  <c r="AK27" i="21"/>
  <c r="AL27" i="21"/>
  <c r="P28" i="21"/>
  <c r="Q28" i="21" s="1"/>
  <c r="P29" i="21"/>
  <c r="Q29" i="21" s="1"/>
  <c r="W29" i="21"/>
  <c r="X29" i="21"/>
  <c r="AA29" i="21"/>
  <c r="AB29" i="21" s="1"/>
  <c r="AD29" i="21"/>
  <c r="AE29" i="21"/>
  <c r="AH29" i="21"/>
  <c r="AI29" i="21" s="1"/>
  <c r="AK29" i="21"/>
  <c r="AL29" i="21"/>
  <c r="P30" i="21"/>
  <c r="Q30" i="21" s="1"/>
  <c r="AA30" i="21"/>
  <c r="AB30" i="21" s="1"/>
  <c r="AH30" i="21"/>
  <c r="P31" i="21"/>
  <c r="Q31" i="21" s="1"/>
  <c r="W31" i="21"/>
  <c r="X31" i="21"/>
  <c r="AD31" i="21"/>
  <c r="AE31" i="21"/>
  <c r="AK31" i="21"/>
  <c r="AL31" i="21"/>
  <c r="P32" i="21"/>
  <c r="Q32" i="21" s="1"/>
  <c r="W32" i="21"/>
  <c r="X32" i="21"/>
  <c r="AA32" i="21"/>
  <c r="AD32" i="21"/>
  <c r="AE32" i="21"/>
  <c r="AH32" i="21"/>
  <c r="AK32" i="21"/>
  <c r="AL32" i="21"/>
  <c r="P33" i="21"/>
  <c r="Q33" i="21" s="1"/>
  <c r="P34" i="21"/>
  <c r="Q34" i="21" s="1"/>
  <c r="W34" i="21"/>
  <c r="X34" i="21"/>
  <c r="AA34" i="21"/>
  <c r="AD34" i="21"/>
  <c r="AE34" i="21"/>
  <c r="AH34" i="21"/>
  <c r="AI34" i="21" s="1"/>
  <c r="AK34" i="21"/>
  <c r="AL34" i="21"/>
  <c r="P35" i="21"/>
  <c r="Q35" i="21" s="1"/>
  <c r="W35" i="21"/>
  <c r="X35" i="21"/>
  <c r="AD35" i="21"/>
  <c r="AE35" i="21"/>
  <c r="AK35" i="21"/>
  <c r="AL35" i="21"/>
  <c r="P36" i="21"/>
  <c r="Q36" i="21" s="1"/>
  <c r="W36" i="21"/>
  <c r="X36" i="21"/>
  <c r="AD36" i="21"/>
  <c r="AE36" i="21"/>
  <c r="AK36" i="21"/>
  <c r="AL36" i="21"/>
  <c r="P37" i="21"/>
  <c r="Q37" i="21" s="1"/>
  <c r="W37" i="21"/>
  <c r="X37" i="21"/>
  <c r="AD37" i="21"/>
  <c r="AE37" i="21"/>
  <c r="AK37" i="21"/>
  <c r="AL37" i="21"/>
  <c r="P38" i="21"/>
  <c r="Q38" i="21" s="1"/>
  <c r="W38" i="21"/>
  <c r="X38" i="21"/>
  <c r="AA38" i="21"/>
  <c r="AD38" i="21"/>
  <c r="AE38" i="21"/>
  <c r="AH38" i="21"/>
  <c r="AK38" i="21"/>
  <c r="AL38" i="21"/>
  <c r="P39" i="21"/>
  <c r="Q39" i="21" s="1"/>
  <c r="W39" i="21"/>
  <c r="X39" i="21"/>
  <c r="AA39" i="21"/>
  <c r="AD39" i="21"/>
  <c r="AE39" i="21"/>
  <c r="AH39" i="21"/>
  <c r="AK39" i="21"/>
  <c r="AL39" i="21"/>
  <c r="P40" i="21"/>
  <c r="Q40" i="21" s="1"/>
  <c r="W40" i="21"/>
  <c r="X40" i="21"/>
  <c r="AD40" i="21"/>
  <c r="AE40" i="21"/>
  <c r="AK40" i="21"/>
  <c r="AL40" i="21"/>
  <c r="P41" i="21"/>
  <c r="Q41" i="21" s="1"/>
  <c r="W41" i="21"/>
  <c r="X41" i="21"/>
  <c r="AD41" i="21"/>
  <c r="AE41" i="21"/>
  <c r="AK41" i="21"/>
  <c r="AL41" i="21"/>
  <c r="P42" i="21"/>
  <c r="Q42" i="21" s="1"/>
  <c r="W42" i="21"/>
  <c r="X42" i="21"/>
  <c r="AD42" i="21"/>
  <c r="AE42" i="21"/>
  <c r="AK42" i="21"/>
  <c r="AL42" i="21"/>
  <c r="P43" i="21"/>
  <c r="Q43" i="21" s="1"/>
  <c r="P44" i="21"/>
  <c r="Q44" i="21" s="1"/>
  <c r="W44" i="21"/>
  <c r="X44" i="21"/>
  <c r="AA44" i="21"/>
  <c r="AD44" i="21"/>
  <c r="AE44" i="21"/>
  <c r="AH44" i="21"/>
  <c r="AK44" i="21"/>
  <c r="AL44" i="21"/>
  <c r="P45" i="21"/>
  <c r="Q45" i="21" s="1"/>
  <c r="W45" i="21"/>
  <c r="X45" i="21"/>
  <c r="AD45" i="21"/>
  <c r="AE45" i="21"/>
  <c r="AK45" i="21"/>
  <c r="AL45" i="21"/>
  <c r="P46" i="21"/>
  <c r="Q46" i="21" s="1"/>
  <c r="W46" i="21"/>
  <c r="X46" i="21"/>
  <c r="AA46" i="21"/>
  <c r="AB46" i="21" s="1"/>
  <c r="AD46" i="21"/>
  <c r="AE46" i="21"/>
  <c r="AH46" i="21"/>
  <c r="AI46" i="21" s="1"/>
  <c r="AK46" i="21"/>
  <c r="AL46" i="21"/>
  <c r="P47" i="21"/>
  <c r="Q47" i="21" s="1"/>
  <c r="W47" i="21"/>
  <c r="X47" i="21"/>
  <c r="AA47" i="21"/>
  <c r="AB47" i="21" s="1"/>
  <c r="AD47" i="21"/>
  <c r="AE47" i="21"/>
  <c r="AH47" i="21"/>
  <c r="AI47" i="21" s="1"/>
  <c r="AK47" i="21"/>
  <c r="AL47" i="21"/>
  <c r="P48" i="21"/>
  <c r="Q48" i="21" s="1"/>
  <c r="W48" i="21"/>
  <c r="X48" i="21"/>
  <c r="AA48" i="21"/>
  <c r="AB48" i="21" s="1"/>
  <c r="AD48" i="21"/>
  <c r="AE48" i="21"/>
  <c r="AH48" i="21"/>
  <c r="AK48" i="21"/>
  <c r="AL48" i="21"/>
  <c r="P49" i="21"/>
  <c r="Q49" i="21" s="1"/>
  <c r="W49" i="21"/>
  <c r="X49" i="21"/>
  <c r="AA49" i="21"/>
  <c r="AD49" i="21"/>
  <c r="AE49" i="21"/>
  <c r="AH49" i="21"/>
  <c r="AK49" i="21"/>
  <c r="AL49" i="21"/>
  <c r="P50" i="21"/>
  <c r="Q50" i="21" s="1"/>
  <c r="W50" i="21"/>
  <c r="X50" i="21"/>
  <c r="AA50" i="21"/>
  <c r="AD50" i="21"/>
  <c r="AE50" i="21"/>
  <c r="AH50" i="21"/>
  <c r="AI50" i="21" s="1"/>
  <c r="AK50" i="21"/>
  <c r="AL50" i="21"/>
  <c r="P51" i="21"/>
  <c r="Q51" i="21" s="1"/>
  <c r="W51" i="21"/>
  <c r="X51" i="21"/>
  <c r="AA51" i="21"/>
  <c r="AB51" i="21" s="1"/>
  <c r="AD51" i="21"/>
  <c r="AE51" i="21"/>
  <c r="AH51" i="21"/>
  <c r="AI51" i="21" s="1"/>
  <c r="AK51" i="21"/>
  <c r="AL51" i="21"/>
  <c r="P52" i="21"/>
  <c r="Q52" i="21" s="1"/>
  <c r="W52" i="21"/>
  <c r="X52" i="21"/>
  <c r="AA52" i="21"/>
  <c r="AB52" i="21" s="1"/>
  <c r="AD52" i="21"/>
  <c r="AE52" i="21"/>
  <c r="AH52" i="21"/>
  <c r="AK52" i="21"/>
  <c r="AL52" i="21"/>
  <c r="P53" i="21"/>
  <c r="Q53" i="21" s="1"/>
  <c r="W53" i="21"/>
  <c r="X53" i="21"/>
  <c r="AA53" i="21"/>
  <c r="AD53" i="21"/>
  <c r="AE53" i="21"/>
  <c r="AH53" i="21"/>
  <c r="AK53" i="21"/>
  <c r="AL53" i="21"/>
  <c r="P54" i="21"/>
  <c r="Q54" i="21" s="1"/>
  <c r="W54" i="21"/>
  <c r="X54" i="21"/>
  <c r="AA54" i="21"/>
  <c r="AD54" i="21"/>
  <c r="AE54" i="21"/>
  <c r="AH54" i="21"/>
  <c r="AI54" i="21" s="1"/>
  <c r="AK54" i="21"/>
  <c r="AL54" i="21"/>
  <c r="P55" i="21"/>
  <c r="Q55" i="21" s="1"/>
  <c r="AH2" i="21"/>
  <c r="AI2" i="21" s="1"/>
  <c r="T2" i="21"/>
  <c r="P2" i="21"/>
  <c r="Q2" i="21" s="1"/>
  <c r="M15" i="14"/>
  <c r="M17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L15" i="14"/>
  <c r="L17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L53" i="14"/>
  <c r="L54" i="14"/>
  <c r="L55" i="14"/>
  <c r="L56" i="14"/>
  <c r="L57" i="14"/>
  <c r="L58" i="14"/>
  <c r="L59" i="14"/>
  <c r="L60" i="14"/>
  <c r="L61" i="14"/>
  <c r="L62" i="14"/>
  <c r="L63" i="14"/>
  <c r="L64" i="14"/>
  <c r="L65" i="14"/>
  <c r="L66" i="14"/>
  <c r="L67" i="14"/>
  <c r="L68" i="14"/>
  <c r="L69" i="14"/>
  <c r="L70" i="14"/>
  <c r="L71" i="14"/>
  <c r="L72" i="14"/>
  <c r="L73" i="14"/>
  <c r="L74" i="14"/>
  <c r="L75" i="14"/>
  <c r="L76" i="14"/>
  <c r="L77" i="14"/>
  <c r="L78" i="14"/>
  <c r="L79" i="14"/>
  <c r="L80" i="14"/>
  <c r="L81" i="14"/>
  <c r="Q92" i="15" l="1"/>
  <c r="Q68" i="15"/>
  <c r="Q173" i="15"/>
  <c r="Q100" i="15"/>
  <c r="Q117" i="15"/>
  <c r="AJ3" i="15"/>
  <c r="Q221" i="15"/>
  <c r="Q164" i="15"/>
  <c r="Q17" i="15"/>
  <c r="Q254" i="15"/>
  <c r="Q230" i="15"/>
  <c r="Q147" i="15"/>
  <c r="Q139" i="15"/>
  <c r="Q131" i="15"/>
  <c r="AD40" i="15"/>
  <c r="Q144" i="15"/>
  <c r="Q200" i="15"/>
  <c r="U234" i="15"/>
  <c r="V234" i="15" s="1"/>
  <c r="AB218" i="15"/>
  <c r="AC218" i="15" s="1"/>
  <c r="U210" i="15"/>
  <c r="V210" i="15" s="1"/>
  <c r="AB170" i="15"/>
  <c r="AC170" i="15" s="1"/>
  <c r="AB162" i="15"/>
  <c r="AC162" i="15" s="1"/>
  <c r="U209" i="15"/>
  <c r="V209" i="15" s="1"/>
  <c r="Q252" i="15"/>
  <c r="Q238" i="15"/>
  <c r="Q202" i="15"/>
  <c r="AH250" i="15"/>
  <c r="AI250" i="15" s="1"/>
  <c r="AJ250" i="15" s="1"/>
  <c r="AB221" i="15"/>
  <c r="AC221" i="15" s="1"/>
  <c r="AI205" i="15"/>
  <c r="AJ205" i="15" s="1"/>
  <c r="AB181" i="15"/>
  <c r="AC181" i="15" s="1"/>
  <c r="AI125" i="15"/>
  <c r="AJ125" i="15" s="1"/>
  <c r="AH234" i="15"/>
  <c r="AI234" i="15" s="1"/>
  <c r="AJ234" i="15" s="1"/>
  <c r="Q89" i="15"/>
  <c r="T236" i="15"/>
  <c r="U236" i="15" s="1"/>
  <c r="V236" i="15" s="1"/>
  <c r="AH252" i="15"/>
  <c r="AI252" i="15" s="1"/>
  <c r="AJ252" i="15" s="1"/>
  <c r="T250" i="15"/>
  <c r="U250" i="15" s="1"/>
  <c r="V250" i="15" s="1"/>
  <c r="AH240" i="15"/>
  <c r="AI240" i="15" s="1"/>
  <c r="AJ240" i="15" s="1"/>
  <c r="Q4" i="15"/>
  <c r="T175" i="15"/>
  <c r="U175" i="15" s="1"/>
  <c r="V175" i="15" s="1"/>
  <c r="Q246" i="15"/>
  <c r="AI248" i="15"/>
  <c r="AJ248" i="15" s="1"/>
  <c r="AB240" i="15"/>
  <c r="AC240" i="15" s="1"/>
  <c r="AB232" i="15"/>
  <c r="AC232" i="15" s="1"/>
  <c r="AB224" i="15"/>
  <c r="AC224" i="15" s="1"/>
  <c r="AI216" i="15"/>
  <c r="AJ216" i="15" s="1"/>
  <c r="U208" i="15"/>
  <c r="V208" i="15" s="1"/>
  <c r="U200" i="15"/>
  <c r="V200" i="15" s="1"/>
  <c r="AB192" i="15"/>
  <c r="AC192" i="15" s="1"/>
  <c r="AI184" i="15"/>
  <c r="AJ184" i="15" s="1"/>
  <c r="AI176" i="15"/>
  <c r="AJ176" i="15" s="1"/>
  <c r="AB168" i="15"/>
  <c r="AC168" i="15" s="1"/>
  <c r="T225" i="15"/>
  <c r="U225" i="15" s="1"/>
  <c r="V225" i="15" s="1"/>
  <c r="T167" i="15"/>
  <c r="U167" i="15" s="1"/>
  <c r="V167" i="15" s="1"/>
  <c r="Q253" i="15"/>
  <c r="Q229" i="15"/>
  <c r="Q233" i="15"/>
  <c r="T217" i="15"/>
  <c r="U217" i="15" s="1"/>
  <c r="V217" i="15" s="1"/>
  <c r="T212" i="15"/>
  <c r="U212" i="15" s="1"/>
  <c r="V212" i="15" s="1"/>
  <c r="Q185" i="15"/>
  <c r="AH241" i="15"/>
  <c r="AI241" i="15" s="1"/>
  <c r="AJ241" i="15" s="1"/>
  <c r="AA228" i="15"/>
  <c r="AB228" i="15" s="1"/>
  <c r="AC228" i="15" s="1"/>
  <c r="AA208" i="15"/>
  <c r="AB208" i="15" s="1"/>
  <c r="AC208" i="15" s="1"/>
  <c r="T186" i="15"/>
  <c r="U186" i="15" s="1"/>
  <c r="V186" i="15" s="1"/>
  <c r="AA185" i="15"/>
  <c r="AB185" i="15" s="1"/>
  <c r="AC185" i="15" s="1"/>
  <c r="T184" i="15"/>
  <c r="U184" i="15" s="1"/>
  <c r="V184" i="15" s="1"/>
  <c r="AA183" i="15"/>
  <c r="AB183" i="15" s="1"/>
  <c r="AC183" i="15" s="1"/>
  <c r="Q130" i="15"/>
  <c r="U245" i="15"/>
  <c r="V245" i="15" s="1"/>
  <c r="AI228" i="15"/>
  <c r="AJ228" i="15" s="1"/>
  <c r="AI212" i="15"/>
  <c r="AJ212" i="15" s="1"/>
  <c r="AB155" i="15"/>
  <c r="AC155" i="15" s="1"/>
  <c r="AB254" i="15"/>
  <c r="AC254" i="15" s="1"/>
  <c r="AB246" i="15"/>
  <c r="AC246" i="15" s="1"/>
  <c r="AI238" i="15"/>
  <c r="AJ238" i="15" s="1"/>
  <c r="AI230" i="15"/>
  <c r="AJ230" i="15" s="1"/>
  <c r="AI206" i="15"/>
  <c r="AJ206" i="15" s="1"/>
  <c r="AI198" i="15"/>
  <c r="AJ198" i="15" s="1"/>
  <c r="AB174" i="15"/>
  <c r="AC174" i="15" s="1"/>
  <c r="AI102" i="15"/>
  <c r="AJ102" i="15" s="1"/>
  <c r="AA255" i="15"/>
  <c r="AB255" i="15" s="1"/>
  <c r="AC255" i="15" s="1"/>
  <c r="T248" i="15"/>
  <c r="U248" i="15" s="1"/>
  <c r="V248" i="15" s="1"/>
  <c r="AA247" i="15"/>
  <c r="AB247" i="15" s="1"/>
  <c r="AC247" i="15" s="1"/>
  <c r="AH225" i="15"/>
  <c r="AI225" i="15" s="1"/>
  <c r="AJ225" i="15" s="1"/>
  <c r="AA220" i="15"/>
  <c r="AB220" i="15" s="1"/>
  <c r="AC220" i="15" s="1"/>
  <c r="Q208" i="15"/>
  <c r="T188" i="15"/>
  <c r="U188" i="15" s="1"/>
  <c r="V188" i="15" s="1"/>
  <c r="Q183" i="15"/>
  <c r="AH180" i="15"/>
  <c r="AI180" i="15" s="1"/>
  <c r="AJ180" i="15" s="1"/>
  <c r="AH169" i="15"/>
  <c r="AI169" i="15" s="1"/>
  <c r="AJ169" i="15" s="1"/>
  <c r="AH167" i="15"/>
  <c r="AI167" i="15" s="1"/>
  <c r="AJ167" i="15" s="1"/>
  <c r="AA236" i="15"/>
  <c r="AB236" i="15" s="1"/>
  <c r="AC236" i="15" s="1"/>
  <c r="AH231" i="15"/>
  <c r="AI231" i="15" s="1"/>
  <c r="AJ231" i="15" s="1"/>
  <c r="T223" i="15"/>
  <c r="U223" i="15" s="1"/>
  <c r="V223" i="15" s="1"/>
  <c r="AH197" i="15"/>
  <c r="AI197" i="15" s="1"/>
  <c r="AJ197" i="15" s="1"/>
  <c r="Q171" i="15"/>
  <c r="Q249" i="15"/>
  <c r="U160" i="15"/>
  <c r="V160" i="15" s="1"/>
  <c r="AB211" i="15"/>
  <c r="AC211" i="15" s="1"/>
  <c r="AI123" i="15"/>
  <c r="AJ123" i="15" s="1"/>
  <c r="AB99" i="15"/>
  <c r="AC99" i="15" s="1"/>
  <c r="U83" i="15"/>
  <c r="V83" i="15" s="1"/>
  <c r="AH255" i="15"/>
  <c r="AI255" i="15" s="1"/>
  <c r="AJ255" i="15" s="1"/>
  <c r="AA244" i="15"/>
  <c r="AB244" i="15" s="1"/>
  <c r="AC244" i="15" s="1"/>
  <c r="AH243" i="15"/>
  <c r="AI243" i="15" s="1"/>
  <c r="AJ243" i="15" s="1"/>
  <c r="T241" i="15"/>
  <c r="U241" i="15" s="1"/>
  <c r="V241" i="15" s="1"/>
  <c r="AH239" i="15"/>
  <c r="AI239" i="15" s="1"/>
  <c r="AJ239" i="15" s="1"/>
  <c r="AA234" i="15"/>
  <c r="AB234" i="15" s="1"/>
  <c r="AC234" i="15" s="1"/>
  <c r="AH218" i="15"/>
  <c r="AI218" i="15" s="1"/>
  <c r="AJ218" i="15" s="1"/>
  <c r="AH192" i="15"/>
  <c r="AI192" i="15" s="1"/>
  <c r="AJ192" i="15" s="1"/>
  <c r="AH170" i="15"/>
  <c r="AI170" i="15" s="1"/>
  <c r="AJ170" i="15" s="1"/>
  <c r="AI87" i="15"/>
  <c r="AJ87" i="15" s="1"/>
  <c r="AA252" i="15"/>
  <c r="AB252" i="15" s="1"/>
  <c r="AC252" i="15" s="1"/>
  <c r="AA200" i="15"/>
  <c r="AB200" i="15" s="1"/>
  <c r="AC200" i="15" s="1"/>
  <c r="AA184" i="15"/>
  <c r="AB184" i="15" s="1"/>
  <c r="AC184" i="15" s="1"/>
  <c r="AH172" i="15"/>
  <c r="AI172" i="15" s="1"/>
  <c r="AJ172" i="15" s="1"/>
  <c r="T170" i="15"/>
  <c r="U170" i="15" s="1"/>
  <c r="V170" i="15" s="1"/>
  <c r="AH168" i="15"/>
  <c r="AI168" i="15" s="1"/>
  <c r="AJ168" i="15" s="1"/>
  <c r="AI247" i="15"/>
  <c r="AJ247" i="15" s="1"/>
  <c r="AB207" i="15"/>
  <c r="AC207" i="15" s="1"/>
  <c r="AI183" i="15"/>
  <c r="AJ183" i="15" s="1"/>
  <c r="AI175" i="15"/>
  <c r="AJ175" i="15" s="1"/>
  <c r="T247" i="15"/>
  <c r="U247" i="15" s="1"/>
  <c r="V247" i="15" s="1"/>
  <c r="Q237" i="15"/>
  <c r="AH224" i="15"/>
  <c r="AI224" i="15" s="1"/>
  <c r="AJ224" i="15" s="1"/>
  <c r="AA223" i="15"/>
  <c r="AB223" i="15" s="1"/>
  <c r="AC223" i="15" s="1"/>
  <c r="AA209" i="15"/>
  <c r="AB209" i="15" s="1"/>
  <c r="AC209" i="15" s="1"/>
  <c r="T176" i="15"/>
  <c r="U176" i="15" s="1"/>
  <c r="V176" i="15" s="1"/>
  <c r="Q44" i="15"/>
  <c r="AE15" i="15"/>
  <c r="T228" i="15"/>
  <c r="U228" i="15" s="1"/>
  <c r="V228" i="15" s="1"/>
  <c r="AI203" i="15"/>
  <c r="AJ203" i="15" s="1"/>
  <c r="T196" i="15"/>
  <c r="U196" i="15" s="1"/>
  <c r="V196" i="15" s="1"/>
  <c r="Q192" i="15"/>
  <c r="AE40" i="15"/>
  <c r="AH214" i="15"/>
  <c r="AI214" i="15" s="1"/>
  <c r="AJ214" i="15" s="1"/>
  <c r="AA214" i="15"/>
  <c r="AB214" i="15" s="1"/>
  <c r="AC214" i="15" s="1"/>
  <c r="AH166" i="15"/>
  <c r="AI166" i="15" s="1"/>
  <c r="AJ166" i="15" s="1"/>
  <c r="AA166" i="15"/>
  <c r="AB166" i="15" s="1"/>
  <c r="AC166" i="15" s="1"/>
  <c r="T166" i="15"/>
  <c r="U166" i="15" s="1"/>
  <c r="V166" i="15" s="1"/>
  <c r="AA118" i="15"/>
  <c r="AB118" i="15" s="1"/>
  <c r="AC118" i="15" s="1"/>
  <c r="T118" i="15"/>
  <c r="U118" i="15" s="1"/>
  <c r="V118" i="15" s="1"/>
  <c r="AH118" i="15"/>
  <c r="AI118" i="15" s="1"/>
  <c r="AJ118" i="15" s="1"/>
  <c r="AA86" i="15"/>
  <c r="AB86" i="15" s="1"/>
  <c r="AC86" i="15" s="1"/>
  <c r="T86" i="15"/>
  <c r="U86" i="15" s="1"/>
  <c r="V86" i="15" s="1"/>
  <c r="AH86" i="15"/>
  <c r="AI86" i="15" s="1"/>
  <c r="AJ86" i="15" s="1"/>
  <c r="AH57" i="15"/>
  <c r="AA57" i="15"/>
  <c r="Q137" i="15"/>
  <c r="U252" i="15"/>
  <c r="V252" i="15" s="1"/>
  <c r="T230" i="15"/>
  <c r="U230" i="15" s="1"/>
  <c r="V230" i="15" s="1"/>
  <c r="Q210" i="15"/>
  <c r="AI190" i="15"/>
  <c r="AJ190" i="15" s="1"/>
  <c r="Q141" i="15"/>
  <c r="Q85" i="15"/>
  <c r="Q77" i="15"/>
  <c r="AI152" i="15"/>
  <c r="AJ152" i="15" s="1"/>
  <c r="U255" i="15"/>
  <c r="V255" i="15" s="1"/>
  <c r="T214" i="15"/>
  <c r="U214" i="15" s="1"/>
  <c r="V214" i="15" s="1"/>
  <c r="AA213" i="15"/>
  <c r="AB213" i="15" s="1"/>
  <c r="AC213" i="15" s="1"/>
  <c r="Q213" i="15"/>
  <c r="Q211" i="15"/>
  <c r="Q209" i="15"/>
  <c r="Q205" i="15"/>
  <c r="Q184" i="15"/>
  <c r="Q180" i="15"/>
  <c r="AH173" i="15"/>
  <c r="AI173" i="15" s="1"/>
  <c r="AJ173" i="15" s="1"/>
  <c r="AB129" i="15"/>
  <c r="AC129" i="15" s="1"/>
  <c r="T222" i="15"/>
  <c r="U222" i="15" s="1"/>
  <c r="V222" i="15" s="1"/>
  <c r="AH222" i="15"/>
  <c r="AI222" i="15" s="1"/>
  <c r="AJ222" i="15" s="1"/>
  <c r="AA222" i="15"/>
  <c r="AB222" i="15" s="1"/>
  <c r="AC222" i="15" s="1"/>
  <c r="T150" i="15"/>
  <c r="U150" i="15" s="1"/>
  <c r="V150" i="15" s="1"/>
  <c r="AA150" i="15"/>
  <c r="AB150" i="15" s="1"/>
  <c r="AC150" i="15" s="1"/>
  <c r="AH150" i="15"/>
  <c r="AI150" i="15" s="1"/>
  <c r="AJ150" i="15" s="1"/>
  <c r="AH7" i="15"/>
  <c r="T7" i="15"/>
  <c r="AA7" i="15"/>
  <c r="AB204" i="15"/>
  <c r="AC204" i="15" s="1"/>
  <c r="U229" i="15"/>
  <c r="V229" i="15" s="1"/>
  <c r="U173" i="15"/>
  <c r="V173" i="15" s="1"/>
  <c r="Q156" i="15"/>
  <c r="Q148" i="15"/>
  <c r="Q140" i="15"/>
  <c r="U140" i="15"/>
  <c r="V140" i="15" s="1"/>
  <c r="AB239" i="15"/>
  <c r="AC239" i="15" s="1"/>
  <c r="AB231" i="15"/>
  <c r="AC231" i="15" s="1"/>
  <c r="AI223" i="15"/>
  <c r="AJ223" i="15" s="1"/>
  <c r="U199" i="15"/>
  <c r="V199" i="15" s="1"/>
  <c r="AB191" i="15"/>
  <c r="AC191" i="15" s="1"/>
  <c r="AB167" i="15"/>
  <c r="AC167" i="15" s="1"/>
  <c r="AH253" i="15"/>
  <c r="AI253" i="15" s="1"/>
  <c r="AJ253" i="15" s="1"/>
  <c r="AH245" i="15"/>
  <c r="AI245" i="15" s="1"/>
  <c r="AJ245" i="15" s="1"/>
  <c r="Q244" i="15"/>
  <c r="T238" i="15"/>
  <c r="U238" i="15" s="1"/>
  <c r="V238" i="15" s="1"/>
  <c r="Q226" i="15"/>
  <c r="Q172" i="15"/>
  <c r="Q170" i="15"/>
  <c r="Q162" i="15"/>
  <c r="Q157" i="15"/>
  <c r="Q155" i="15"/>
  <c r="Q86" i="15"/>
  <c r="Q81" i="15"/>
  <c r="AI31" i="15"/>
  <c r="AJ31" i="15" s="1"/>
  <c r="T254" i="15"/>
  <c r="U254" i="15" s="1"/>
  <c r="V254" i="15" s="1"/>
  <c r="AH254" i="15"/>
  <c r="AI254" i="15" s="1"/>
  <c r="AJ254" i="15" s="1"/>
  <c r="AA206" i="15"/>
  <c r="AB206" i="15" s="1"/>
  <c r="AC206" i="15" s="1"/>
  <c r="T206" i="15"/>
  <c r="U206" i="15" s="1"/>
  <c r="V206" i="15" s="1"/>
  <c r="T174" i="15"/>
  <c r="U174" i="15" s="1"/>
  <c r="V174" i="15" s="1"/>
  <c r="AH174" i="15"/>
  <c r="AI174" i="15" s="1"/>
  <c r="AJ174" i="15" s="1"/>
  <c r="AH134" i="15"/>
  <c r="AI134" i="15" s="1"/>
  <c r="AJ134" i="15" s="1"/>
  <c r="AA134" i="15"/>
  <c r="AB134" i="15" s="1"/>
  <c r="AC134" i="15" s="1"/>
  <c r="T134" i="15"/>
  <c r="U134" i="15" s="1"/>
  <c r="V134" i="15" s="1"/>
  <c r="T94" i="15"/>
  <c r="U94" i="15" s="1"/>
  <c r="V94" i="15" s="1"/>
  <c r="AA94" i="15"/>
  <c r="AB94" i="15" s="1"/>
  <c r="AC94" i="15" s="1"/>
  <c r="Q146" i="15"/>
  <c r="U253" i="15"/>
  <c r="V253" i="15" s="1"/>
  <c r="AH237" i="15"/>
  <c r="AI237" i="15" s="1"/>
  <c r="AJ237" i="15" s="1"/>
  <c r="AA237" i="15"/>
  <c r="AB237" i="15" s="1"/>
  <c r="AC237" i="15" s="1"/>
  <c r="AH229" i="15"/>
  <c r="AI229" i="15" s="1"/>
  <c r="AJ229" i="15" s="1"/>
  <c r="AA229" i="15"/>
  <c r="AB229" i="15" s="1"/>
  <c r="AC229" i="15" s="1"/>
  <c r="T221" i="15"/>
  <c r="U221" i="15" s="1"/>
  <c r="V221" i="15" s="1"/>
  <c r="AH221" i="15"/>
  <c r="AI221" i="15" s="1"/>
  <c r="AJ221" i="15" s="1"/>
  <c r="AI213" i="15"/>
  <c r="AJ213" i="15" s="1"/>
  <c r="AA205" i="15"/>
  <c r="AB205" i="15" s="1"/>
  <c r="AC205" i="15" s="1"/>
  <c r="T205" i="15"/>
  <c r="U205" i="15" s="1"/>
  <c r="V205" i="15" s="1"/>
  <c r="AB197" i="15"/>
  <c r="AC197" i="15" s="1"/>
  <c r="AB189" i="15"/>
  <c r="AC189" i="15" s="1"/>
  <c r="T181" i="15"/>
  <c r="U181" i="15" s="1"/>
  <c r="V181" i="15" s="1"/>
  <c r="AH181" i="15"/>
  <c r="AI181" i="15" s="1"/>
  <c r="AJ181" i="15" s="1"/>
  <c r="T165" i="15"/>
  <c r="U165" i="15" s="1"/>
  <c r="V165" i="15" s="1"/>
  <c r="AH165" i="15"/>
  <c r="AI165" i="15" s="1"/>
  <c r="AJ165" i="15" s="1"/>
  <c r="AA165" i="15"/>
  <c r="AB165" i="15" s="1"/>
  <c r="AC165" i="15" s="1"/>
  <c r="T157" i="15"/>
  <c r="U157" i="15" s="1"/>
  <c r="V157" i="15" s="1"/>
  <c r="AH157" i="15"/>
  <c r="AI157" i="15" s="1"/>
  <c r="AJ157" i="15" s="1"/>
  <c r="AA157" i="15"/>
  <c r="AB157" i="15" s="1"/>
  <c r="AC157" i="15" s="1"/>
  <c r="AA149" i="15"/>
  <c r="AB149" i="15" s="1"/>
  <c r="AC149" i="15" s="1"/>
  <c r="T149" i="15"/>
  <c r="U149" i="15" s="1"/>
  <c r="V149" i="15" s="1"/>
  <c r="AH149" i="15"/>
  <c r="AI149" i="15" s="1"/>
  <c r="AJ149" i="15" s="1"/>
  <c r="AH141" i="15"/>
  <c r="AI141" i="15" s="1"/>
  <c r="AJ141" i="15" s="1"/>
  <c r="AA141" i="15"/>
  <c r="AB141" i="15" s="1"/>
  <c r="AC141" i="15" s="1"/>
  <c r="T141" i="15"/>
  <c r="U141" i="15" s="1"/>
  <c r="V141" i="15" s="1"/>
  <c r="AH133" i="15"/>
  <c r="AI133" i="15" s="1"/>
  <c r="AJ133" i="15" s="1"/>
  <c r="T133" i="15"/>
  <c r="U133" i="15" s="1"/>
  <c r="V133" i="15" s="1"/>
  <c r="AA133" i="15"/>
  <c r="AB133" i="15" s="1"/>
  <c r="AC133" i="15" s="1"/>
  <c r="T125" i="15"/>
  <c r="U125" i="15" s="1"/>
  <c r="V125" i="15" s="1"/>
  <c r="AA125" i="15"/>
  <c r="AB125" i="15" s="1"/>
  <c r="AC125" i="15" s="1"/>
  <c r="AA117" i="15"/>
  <c r="AB117" i="15" s="1"/>
  <c r="AC117" i="15" s="1"/>
  <c r="T117" i="15"/>
  <c r="U117" i="15" s="1"/>
  <c r="V117" i="15" s="1"/>
  <c r="AH109" i="15"/>
  <c r="AI109" i="15" s="1"/>
  <c r="AJ109" i="15" s="1"/>
  <c r="AA109" i="15"/>
  <c r="AB109" i="15" s="1"/>
  <c r="AC109" i="15" s="1"/>
  <c r="T109" i="15"/>
  <c r="U109" i="15" s="1"/>
  <c r="V109" i="15" s="1"/>
  <c r="T101" i="15"/>
  <c r="U101" i="15" s="1"/>
  <c r="V101" i="15" s="1"/>
  <c r="AA101" i="15"/>
  <c r="AB101" i="15" s="1"/>
  <c r="AC101" i="15" s="1"/>
  <c r="AH101" i="15"/>
  <c r="AI101" i="15" s="1"/>
  <c r="AJ101" i="15" s="1"/>
  <c r="AA93" i="15"/>
  <c r="AB93" i="15" s="1"/>
  <c r="AC93" i="15" s="1"/>
  <c r="T93" i="15"/>
  <c r="U93" i="15" s="1"/>
  <c r="V93" i="15" s="1"/>
  <c r="AH93" i="15"/>
  <c r="AI93" i="15" s="1"/>
  <c r="AJ93" i="15" s="1"/>
  <c r="AA85" i="15"/>
  <c r="AB85" i="15" s="1"/>
  <c r="AC85" i="15" s="1"/>
  <c r="T85" i="15"/>
  <c r="U85" i="15" s="1"/>
  <c r="V85" i="15" s="1"/>
  <c r="AH85" i="15"/>
  <c r="AI85" i="15" s="1"/>
  <c r="AJ85" i="15" s="1"/>
  <c r="T77" i="15"/>
  <c r="U77" i="15" s="1"/>
  <c r="V77" i="15" s="1"/>
  <c r="AH77" i="15"/>
  <c r="AI77" i="15" s="1"/>
  <c r="AJ77" i="15" s="1"/>
  <c r="AA77" i="15"/>
  <c r="AB77" i="15" s="1"/>
  <c r="AC77" i="15" s="1"/>
  <c r="AH69" i="15"/>
  <c r="AI69" i="15" s="1"/>
  <c r="AJ69" i="15" s="1"/>
  <c r="AA69" i="15"/>
  <c r="AB69" i="15" s="1"/>
  <c r="AC69" i="15" s="1"/>
  <c r="T69" i="15"/>
  <c r="U69" i="15" s="1"/>
  <c r="V69" i="15" s="1"/>
  <c r="AH44" i="15"/>
  <c r="AA44" i="15"/>
  <c r="T44" i="15"/>
  <c r="AA16" i="15"/>
  <c r="AB16" i="15" s="1"/>
  <c r="AC16" i="15" s="1"/>
  <c r="T16" i="15"/>
  <c r="U16" i="15" s="1"/>
  <c r="V16" i="15" s="1"/>
  <c r="AH16" i="15"/>
  <c r="AI16" i="15" s="1"/>
  <c r="AJ16" i="15" s="1"/>
  <c r="AH5" i="15"/>
  <c r="T5" i="15"/>
  <c r="AA5" i="15"/>
  <c r="Q255" i="15"/>
  <c r="Q247" i="15"/>
  <c r="Q222" i="15"/>
  <c r="Q214" i="15"/>
  <c r="Q206" i="15"/>
  <c r="Q204" i="15"/>
  <c r="Q181" i="15"/>
  <c r="Q168" i="15"/>
  <c r="U146" i="15"/>
  <c r="V146" i="15" s="1"/>
  <c r="Q105" i="15"/>
  <c r="Q163" i="15"/>
  <c r="Q149" i="15"/>
  <c r="AH117" i="15"/>
  <c r="AI117" i="15" s="1"/>
  <c r="AJ117" i="15" s="1"/>
  <c r="Q90" i="15"/>
  <c r="T246" i="15"/>
  <c r="U246" i="15" s="1"/>
  <c r="V246" i="15" s="1"/>
  <c r="AH246" i="15"/>
  <c r="AI246" i="15" s="1"/>
  <c r="AJ246" i="15" s="1"/>
  <c r="AA190" i="15"/>
  <c r="AB190" i="15" s="1"/>
  <c r="AC190" i="15" s="1"/>
  <c r="T190" i="15"/>
  <c r="U190" i="15" s="1"/>
  <c r="V190" i="15" s="1"/>
  <c r="Q228" i="15"/>
  <c r="AI194" i="15"/>
  <c r="AJ194" i="15" s="1"/>
  <c r="Q194" i="15"/>
  <c r="AI236" i="15"/>
  <c r="AJ236" i="15" s="1"/>
  <c r="AI196" i="15"/>
  <c r="AJ196" i="15" s="1"/>
  <c r="Q217" i="15"/>
  <c r="AI177" i="15"/>
  <c r="AJ177" i="15" s="1"/>
  <c r="Q177" i="15"/>
  <c r="AA251" i="15"/>
  <c r="AB251" i="15" s="1"/>
  <c r="AC251" i="15" s="1"/>
  <c r="T251" i="15"/>
  <c r="U251" i="15" s="1"/>
  <c r="V251" i="15" s="1"/>
  <c r="AH251" i="15"/>
  <c r="AI251" i="15" s="1"/>
  <c r="AJ251" i="15" s="1"/>
  <c r="U243" i="15"/>
  <c r="V243" i="15" s="1"/>
  <c r="T235" i="15"/>
  <c r="U235" i="15" s="1"/>
  <c r="V235" i="15" s="1"/>
  <c r="AH235" i="15"/>
  <c r="AI235" i="15" s="1"/>
  <c r="AJ235" i="15" s="1"/>
  <c r="AA235" i="15"/>
  <c r="AB235" i="15" s="1"/>
  <c r="AC235" i="15" s="1"/>
  <c r="T227" i="15"/>
  <c r="U227" i="15" s="1"/>
  <c r="V227" i="15" s="1"/>
  <c r="AH227" i="15"/>
  <c r="AI227" i="15" s="1"/>
  <c r="AJ227" i="15" s="1"/>
  <c r="AA219" i="15"/>
  <c r="AB219" i="15" s="1"/>
  <c r="AC219" i="15" s="1"/>
  <c r="T219" i="15"/>
  <c r="U219" i="15" s="1"/>
  <c r="V219" i="15" s="1"/>
  <c r="AH219" i="15"/>
  <c r="AI219" i="15" s="1"/>
  <c r="AJ219" i="15" s="1"/>
  <c r="T211" i="15"/>
  <c r="U211" i="15" s="1"/>
  <c r="V211" i="15" s="1"/>
  <c r="AH211" i="15"/>
  <c r="AI211" i="15" s="1"/>
  <c r="AJ211" i="15" s="1"/>
  <c r="AA203" i="15"/>
  <c r="AB203" i="15" s="1"/>
  <c r="AC203" i="15" s="1"/>
  <c r="T203" i="15"/>
  <c r="U203" i="15" s="1"/>
  <c r="V203" i="15" s="1"/>
  <c r="AH195" i="15"/>
  <c r="AI195" i="15" s="1"/>
  <c r="AJ195" i="15" s="1"/>
  <c r="AA195" i="15"/>
  <c r="AB195" i="15" s="1"/>
  <c r="AC195" i="15" s="1"/>
  <c r="AH187" i="15"/>
  <c r="AI187" i="15" s="1"/>
  <c r="AJ187" i="15" s="1"/>
  <c r="AA187" i="15"/>
  <c r="AB187" i="15" s="1"/>
  <c r="AC187" i="15" s="1"/>
  <c r="T187" i="15"/>
  <c r="U187" i="15" s="1"/>
  <c r="V187" i="15" s="1"/>
  <c r="T179" i="15"/>
  <c r="U179" i="15" s="1"/>
  <c r="V179" i="15" s="1"/>
  <c r="AA179" i="15"/>
  <c r="AB179" i="15" s="1"/>
  <c r="AC179" i="15" s="1"/>
  <c r="AH179" i="15"/>
  <c r="AI179" i="15" s="1"/>
  <c r="AJ179" i="15" s="1"/>
  <c r="AA171" i="15"/>
  <c r="AB171" i="15" s="1"/>
  <c r="AC171" i="15" s="1"/>
  <c r="T171" i="15"/>
  <c r="U171" i="15" s="1"/>
  <c r="V171" i="15" s="1"/>
  <c r="AH171" i="15"/>
  <c r="AI171" i="15" s="1"/>
  <c r="AJ171" i="15" s="1"/>
  <c r="T163" i="15"/>
  <c r="U163" i="15" s="1"/>
  <c r="V163" i="15" s="1"/>
  <c r="AH163" i="15"/>
  <c r="AI163" i="15" s="1"/>
  <c r="AJ163" i="15" s="1"/>
  <c r="AA163" i="15"/>
  <c r="AB163" i="15" s="1"/>
  <c r="AC163" i="15" s="1"/>
  <c r="T155" i="15"/>
  <c r="U155" i="15" s="1"/>
  <c r="V155" i="15" s="1"/>
  <c r="AH155" i="15"/>
  <c r="AI155" i="15" s="1"/>
  <c r="AJ155" i="15" s="1"/>
  <c r="AA147" i="15"/>
  <c r="AB147" i="15" s="1"/>
  <c r="AC147" i="15" s="1"/>
  <c r="AH147" i="15"/>
  <c r="AI147" i="15" s="1"/>
  <c r="AJ147" i="15" s="1"/>
  <c r="T147" i="15"/>
  <c r="U147" i="15" s="1"/>
  <c r="V147" i="15" s="1"/>
  <c r="AA139" i="15"/>
  <c r="AB139" i="15" s="1"/>
  <c r="AC139" i="15" s="1"/>
  <c r="AH139" i="15"/>
  <c r="AI139" i="15" s="1"/>
  <c r="AJ139" i="15" s="1"/>
  <c r="T139" i="15"/>
  <c r="U139" i="15" s="1"/>
  <c r="V139" i="15" s="1"/>
  <c r="T131" i="15"/>
  <c r="U131" i="15" s="1"/>
  <c r="V131" i="15" s="1"/>
  <c r="AH131" i="15"/>
  <c r="AI131" i="15" s="1"/>
  <c r="AJ131" i="15" s="1"/>
  <c r="AA131" i="15"/>
  <c r="AB131" i="15" s="1"/>
  <c r="AC131" i="15" s="1"/>
  <c r="T123" i="15"/>
  <c r="U123" i="15" s="1"/>
  <c r="V123" i="15" s="1"/>
  <c r="AA123" i="15"/>
  <c r="AB123" i="15" s="1"/>
  <c r="AC123" i="15" s="1"/>
  <c r="T115" i="15"/>
  <c r="U115" i="15" s="1"/>
  <c r="V115" i="15" s="1"/>
  <c r="AH115" i="15"/>
  <c r="AI115" i="15" s="1"/>
  <c r="AJ115" i="15" s="1"/>
  <c r="AA115" i="15"/>
  <c r="AB115" i="15" s="1"/>
  <c r="AC115" i="15" s="1"/>
  <c r="AH107" i="15"/>
  <c r="AI107" i="15" s="1"/>
  <c r="AJ107" i="15" s="1"/>
  <c r="AA107" i="15"/>
  <c r="AB107" i="15" s="1"/>
  <c r="AC107" i="15" s="1"/>
  <c r="T107" i="15"/>
  <c r="U107" i="15" s="1"/>
  <c r="V107" i="15" s="1"/>
  <c r="T99" i="15"/>
  <c r="U99" i="15" s="1"/>
  <c r="V99" i="15" s="1"/>
  <c r="AH99" i="15"/>
  <c r="AI99" i="15" s="1"/>
  <c r="AJ99" i="15" s="1"/>
  <c r="T91" i="15"/>
  <c r="U91" i="15" s="1"/>
  <c r="V91" i="15" s="1"/>
  <c r="AH91" i="15"/>
  <c r="AI91" i="15" s="1"/>
  <c r="AJ91" i="15" s="1"/>
  <c r="AA91" i="15"/>
  <c r="AB91" i="15" s="1"/>
  <c r="AC91" i="15" s="1"/>
  <c r="AA83" i="15"/>
  <c r="AB83" i="15" s="1"/>
  <c r="AC83" i="15" s="1"/>
  <c r="AH83" i="15"/>
  <c r="AI83" i="15" s="1"/>
  <c r="AJ83" i="15" s="1"/>
  <c r="T75" i="15"/>
  <c r="U75" i="15" s="1"/>
  <c r="V75" i="15" s="1"/>
  <c r="AH75" i="15"/>
  <c r="AI75" i="15" s="1"/>
  <c r="AJ75" i="15" s="1"/>
  <c r="AA75" i="15"/>
  <c r="AB75" i="15" s="1"/>
  <c r="AC75" i="15" s="1"/>
  <c r="AH67" i="15"/>
  <c r="AI67" i="15" s="1"/>
  <c r="AA67" i="15"/>
  <c r="AB67" i="15" s="1"/>
  <c r="AH41" i="15"/>
  <c r="AI41" i="15" s="1"/>
  <c r="AJ41" i="15" s="1"/>
  <c r="AA41" i="15"/>
  <c r="AB41" i="15" s="1"/>
  <c r="AC41" i="15" s="1"/>
  <c r="T41" i="15"/>
  <c r="U41" i="15" s="1"/>
  <c r="V41" i="15" s="1"/>
  <c r="Q245" i="15"/>
  <c r="Q220" i="15"/>
  <c r="T213" i="15"/>
  <c r="U213" i="15" s="1"/>
  <c r="V213" i="15" s="1"/>
  <c r="T197" i="15"/>
  <c r="U197" i="15" s="1"/>
  <c r="V197" i="15" s="1"/>
  <c r="T195" i="15"/>
  <c r="U195" i="15" s="1"/>
  <c r="V195" i="15" s="1"/>
  <c r="AH189" i="15"/>
  <c r="AI189" i="15" s="1"/>
  <c r="AJ189" i="15" s="1"/>
  <c r="AA173" i="15"/>
  <c r="AB173" i="15" s="1"/>
  <c r="AC173" i="15" s="1"/>
  <c r="Q97" i="15"/>
  <c r="AH94" i="15"/>
  <c r="AI94" i="15" s="1"/>
  <c r="AJ94" i="15" s="1"/>
  <c r="Q70" i="15"/>
  <c r="T182" i="15"/>
  <c r="U182" i="15" s="1"/>
  <c r="V182" i="15" s="1"/>
  <c r="AH182" i="15"/>
  <c r="AI182" i="15" s="1"/>
  <c r="AJ182" i="15" s="1"/>
  <c r="AA182" i="15"/>
  <c r="AB182" i="15" s="1"/>
  <c r="AC182" i="15" s="1"/>
  <c r="AH142" i="15"/>
  <c r="AI142" i="15" s="1"/>
  <c r="AJ142" i="15" s="1"/>
  <c r="AA142" i="15"/>
  <c r="AB142" i="15" s="1"/>
  <c r="AC142" i="15" s="1"/>
  <c r="AH110" i="15"/>
  <c r="AI110" i="15" s="1"/>
  <c r="AJ110" i="15" s="1"/>
  <c r="AA110" i="15"/>
  <c r="AB110" i="15" s="1"/>
  <c r="AC110" i="15" s="1"/>
  <c r="T110" i="15"/>
  <c r="U110" i="15" s="1"/>
  <c r="V110" i="15" s="1"/>
  <c r="T78" i="15"/>
  <c r="U78" i="15" s="1"/>
  <c r="V78" i="15" s="1"/>
  <c r="AH78" i="15"/>
  <c r="AI78" i="15" s="1"/>
  <c r="AJ78" i="15" s="1"/>
  <c r="AA78" i="15"/>
  <c r="AB78" i="15" s="1"/>
  <c r="AC78" i="15" s="1"/>
  <c r="Q129" i="15"/>
  <c r="U244" i="15"/>
  <c r="V244" i="15" s="1"/>
  <c r="AB172" i="15"/>
  <c r="AC172" i="15" s="1"/>
  <c r="AI151" i="15"/>
  <c r="AJ151" i="15" s="1"/>
  <c r="AB242" i="15"/>
  <c r="AC242" i="15" s="1"/>
  <c r="AB226" i="15"/>
  <c r="AC226" i="15" s="1"/>
  <c r="AI202" i="15"/>
  <c r="AJ202" i="15" s="1"/>
  <c r="AI186" i="15"/>
  <c r="AJ186" i="15" s="1"/>
  <c r="AA245" i="15"/>
  <c r="AB245" i="15" s="1"/>
  <c r="AC245" i="15" s="1"/>
  <c r="Q243" i="15"/>
  <c r="Q227" i="15"/>
  <c r="Q225" i="15"/>
  <c r="T189" i="15"/>
  <c r="U189" i="15" s="1"/>
  <c r="V189" i="15" s="1"/>
  <c r="Q188" i="15"/>
  <c r="Q169" i="15"/>
  <c r="Q165" i="15"/>
  <c r="AA198" i="15"/>
  <c r="AB198" i="15" s="1"/>
  <c r="AC198" i="15" s="1"/>
  <c r="T198" i="15"/>
  <c r="U198" i="15" s="1"/>
  <c r="V198" i="15" s="1"/>
  <c r="T158" i="15"/>
  <c r="U158" i="15" s="1"/>
  <c r="V158" i="15" s="1"/>
  <c r="AH158" i="15"/>
  <c r="AI158" i="15" s="1"/>
  <c r="AJ158" i="15" s="1"/>
  <c r="AA158" i="15"/>
  <c r="AB158" i="15" s="1"/>
  <c r="AC158" i="15" s="1"/>
  <c r="T126" i="15"/>
  <c r="U126" i="15" s="1"/>
  <c r="V126" i="15" s="1"/>
  <c r="AH126" i="15"/>
  <c r="AI126" i="15" s="1"/>
  <c r="AJ126" i="15" s="1"/>
  <c r="AA126" i="15"/>
  <c r="AB126" i="15" s="1"/>
  <c r="AC126" i="15" s="1"/>
  <c r="T102" i="15"/>
  <c r="U102" i="15" s="1"/>
  <c r="V102" i="15" s="1"/>
  <c r="AA102" i="15"/>
  <c r="AB102" i="15" s="1"/>
  <c r="AC102" i="15" s="1"/>
  <c r="AH70" i="15"/>
  <c r="AI70" i="15" s="1"/>
  <c r="AJ70" i="15" s="1"/>
  <c r="AA70" i="15"/>
  <c r="AB70" i="15" s="1"/>
  <c r="AC70" i="15" s="1"/>
  <c r="T70" i="15"/>
  <c r="U70" i="15" s="1"/>
  <c r="V70" i="15" s="1"/>
  <c r="U220" i="15"/>
  <c r="V220" i="15" s="1"/>
  <c r="AI188" i="15"/>
  <c r="AJ188" i="15" s="1"/>
  <c r="AA238" i="15"/>
  <c r="AB238" i="15" s="1"/>
  <c r="AC238" i="15" s="1"/>
  <c r="Q196" i="15"/>
  <c r="AI215" i="15"/>
  <c r="AJ215" i="15" s="1"/>
  <c r="U142" i="15"/>
  <c r="V142" i="15" s="1"/>
  <c r="Q94" i="15"/>
  <c r="AI249" i="15"/>
  <c r="AJ249" i="15" s="1"/>
  <c r="AB241" i="15"/>
  <c r="AC241" i="15" s="1"/>
  <c r="AB233" i="15"/>
  <c r="AC233" i="15" s="1"/>
  <c r="AB225" i="15"/>
  <c r="AC225" i="15" s="1"/>
  <c r="AI217" i="15"/>
  <c r="AJ217" i="15" s="1"/>
  <c r="AI201" i="15"/>
  <c r="AJ201" i="15" s="1"/>
  <c r="AI193" i="15"/>
  <c r="AJ193" i="15" s="1"/>
  <c r="U185" i="15"/>
  <c r="V185" i="15" s="1"/>
  <c r="AB169" i="15"/>
  <c r="AC169" i="15" s="1"/>
  <c r="AA253" i="15"/>
  <c r="AB253" i="15" s="1"/>
  <c r="AC253" i="15" s="1"/>
  <c r="AA243" i="15"/>
  <c r="AB243" i="15" s="1"/>
  <c r="AC243" i="15" s="1"/>
  <c r="Q241" i="15"/>
  <c r="T237" i="15"/>
  <c r="U237" i="15" s="1"/>
  <c r="V237" i="15" s="1"/>
  <c r="Q236" i="15"/>
  <c r="Q234" i="15"/>
  <c r="AA230" i="15"/>
  <c r="AB230" i="15" s="1"/>
  <c r="AC230" i="15" s="1"/>
  <c r="AA227" i="15"/>
  <c r="AB227" i="15" s="1"/>
  <c r="AC227" i="15" s="1"/>
  <c r="Q223" i="15"/>
  <c r="Q193" i="15"/>
  <c r="Q182" i="15"/>
  <c r="Q176" i="15"/>
  <c r="Q153" i="15"/>
  <c r="AI121" i="15"/>
  <c r="AJ121" i="15" s="1"/>
  <c r="U71" i="15"/>
  <c r="V71" i="15" s="1"/>
  <c r="U180" i="15"/>
  <c r="V180" i="15" s="1"/>
  <c r="AI164" i="15"/>
  <c r="AJ164" i="15" s="1"/>
  <c r="T156" i="15"/>
  <c r="U156" i="15" s="1"/>
  <c r="V156" i="15" s="1"/>
  <c r="AH156" i="15"/>
  <c r="AI156" i="15" s="1"/>
  <c r="AJ156" i="15" s="1"/>
  <c r="AA156" i="15"/>
  <c r="AB156" i="15" s="1"/>
  <c r="AC156" i="15" s="1"/>
  <c r="AA148" i="15"/>
  <c r="AB148" i="15" s="1"/>
  <c r="AC148" i="15" s="1"/>
  <c r="T148" i="15"/>
  <c r="U148" i="15" s="1"/>
  <c r="V148" i="15" s="1"/>
  <c r="AH148" i="15"/>
  <c r="AI148" i="15" s="1"/>
  <c r="AJ148" i="15" s="1"/>
  <c r="AH140" i="15"/>
  <c r="AI140" i="15" s="1"/>
  <c r="AJ140" i="15" s="1"/>
  <c r="AA140" i="15"/>
  <c r="AB140" i="15" s="1"/>
  <c r="AC140" i="15" s="1"/>
  <c r="AH132" i="15"/>
  <c r="AI132" i="15" s="1"/>
  <c r="AJ132" i="15" s="1"/>
  <c r="AA132" i="15"/>
  <c r="AB132" i="15" s="1"/>
  <c r="AC132" i="15" s="1"/>
  <c r="T132" i="15"/>
  <c r="U132" i="15" s="1"/>
  <c r="V132" i="15" s="1"/>
  <c r="AA124" i="15"/>
  <c r="AB124" i="15" s="1"/>
  <c r="AC124" i="15" s="1"/>
  <c r="T124" i="15"/>
  <c r="U124" i="15" s="1"/>
  <c r="V124" i="15" s="1"/>
  <c r="T116" i="15"/>
  <c r="U116" i="15" s="1"/>
  <c r="V116" i="15" s="1"/>
  <c r="AH116" i="15"/>
  <c r="AI116" i="15" s="1"/>
  <c r="AJ116" i="15" s="1"/>
  <c r="AA116" i="15"/>
  <c r="AB116" i="15" s="1"/>
  <c r="AC116" i="15" s="1"/>
  <c r="AH108" i="15"/>
  <c r="AI108" i="15" s="1"/>
  <c r="AJ108" i="15" s="1"/>
  <c r="AA108" i="15"/>
  <c r="AB108" i="15" s="1"/>
  <c r="AC108" i="15" s="1"/>
  <c r="T108" i="15"/>
  <c r="U108" i="15" s="1"/>
  <c r="V108" i="15" s="1"/>
  <c r="T100" i="15"/>
  <c r="U100" i="15" s="1"/>
  <c r="V100" i="15" s="1"/>
  <c r="AH100" i="15"/>
  <c r="AI100" i="15" s="1"/>
  <c r="AJ100" i="15" s="1"/>
  <c r="AA100" i="15"/>
  <c r="AB100" i="15" s="1"/>
  <c r="AC100" i="15" s="1"/>
  <c r="T92" i="15"/>
  <c r="U92" i="15" s="1"/>
  <c r="V92" i="15" s="1"/>
  <c r="AH92" i="15"/>
  <c r="AI92" i="15" s="1"/>
  <c r="AJ92" i="15" s="1"/>
  <c r="AA92" i="15"/>
  <c r="AB92" i="15" s="1"/>
  <c r="AC92" i="15" s="1"/>
  <c r="AA84" i="15"/>
  <c r="AB84" i="15" s="1"/>
  <c r="AC84" i="15" s="1"/>
  <c r="T84" i="15"/>
  <c r="U84" i="15" s="1"/>
  <c r="V84" i="15" s="1"/>
  <c r="AH84" i="15"/>
  <c r="AI84" i="15" s="1"/>
  <c r="AJ84" i="15" s="1"/>
  <c r="T76" i="15"/>
  <c r="U76" i="15" s="1"/>
  <c r="V76" i="15" s="1"/>
  <c r="AH76" i="15"/>
  <c r="AI76" i="15" s="1"/>
  <c r="AJ76" i="15" s="1"/>
  <c r="AA76" i="15"/>
  <c r="AB76" i="15" s="1"/>
  <c r="AC76" i="15" s="1"/>
  <c r="T68" i="15"/>
  <c r="U68" i="15" s="1"/>
  <c r="V68" i="15" s="1"/>
  <c r="AH68" i="15"/>
  <c r="AI68" i="15" s="1"/>
  <c r="AJ68" i="15" s="1"/>
  <c r="T249" i="15"/>
  <c r="U249" i="15" s="1"/>
  <c r="V249" i="15" s="1"/>
  <c r="AH242" i="15"/>
  <c r="AI242" i="15" s="1"/>
  <c r="AJ242" i="15" s="1"/>
  <c r="T240" i="15"/>
  <c r="U240" i="15" s="1"/>
  <c r="V240" i="15" s="1"/>
  <c r="T239" i="15"/>
  <c r="U239" i="15" s="1"/>
  <c r="V239" i="15" s="1"/>
  <c r="Q235" i="15"/>
  <c r="AH233" i="15"/>
  <c r="AI233" i="15" s="1"/>
  <c r="AJ233" i="15" s="1"/>
  <c r="AH232" i="15"/>
  <c r="AI232" i="15" s="1"/>
  <c r="AJ232" i="15" s="1"/>
  <c r="T231" i="15"/>
  <c r="U231" i="15" s="1"/>
  <c r="V231" i="15" s="1"/>
  <c r="AH226" i="15"/>
  <c r="AI226" i="15" s="1"/>
  <c r="AJ226" i="15" s="1"/>
  <c r="T224" i="15"/>
  <c r="U224" i="15" s="1"/>
  <c r="V224" i="15" s="1"/>
  <c r="T216" i="15"/>
  <c r="U216" i="15" s="1"/>
  <c r="V216" i="15" s="1"/>
  <c r="T215" i="15"/>
  <c r="U215" i="15" s="1"/>
  <c r="V215" i="15" s="1"/>
  <c r="AA210" i="15"/>
  <c r="AB210" i="15" s="1"/>
  <c r="AC210" i="15" s="1"/>
  <c r="AH207" i="15"/>
  <c r="AI207" i="15" s="1"/>
  <c r="AJ207" i="15" s="1"/>
  <c r="AH204" i="15"/>
  <c r="AI204" i="15" s="1"/>
  <c r="AJ204" i="15" s="1"/>
  <c r="T202" i="15"/>
  <c r="U202" i="15" s="1"/>
  <c r="V202" i="15" s="1"/>
  <c r="T201" i="15"/>
  <c r="U201" i="15" s="1"/>
  <c r="V201" i="15" s="1"/>
  <c r="AA199" i="15"/>
  <c r="AB199" i="15" s="1"/>
  <c r="AC199" i="15" s="1"/>
  <c r="Q199" i="15"/>
  <c r="T194" i="15"/>
  <c r="U194" i="15" s="1"/>
  <c r="V194" i="15" s="1"/>
  <c r="AH191" i="15"/>
  <c r="AI191" i="15" s="1"/>
  <c r="AJ191" i="15" s="1"/>
  <c r="T177" i="15"/>
  <c r="U177" i="15" s="1"/>
  <c r="V177" i="15" s="1"/>
  <c r="Q174" i="15"/>
  <c r="T164" i="15"/>
  <c r="U164" i="15" s="1"/>
  <c r="V164" i="15" s="1"/>
  <c r="Q145" i="15"/>
  <c r="Q132" i="15"/>
  <c r="Q124" i="15"/>
  <c r="Q122" i="15"/>
  <c r="Q120" i="15"/>
  <c r="Q113" i="15"/>
  <c r="Q108" i="15"/>
  <c r="Q101" i="15"/>
  <c r="Q99" i="15"/>
  <c r="AA68" i="15"/>
  <c r="AB68" i="15" s="1"/>
  <c r="AC68" i="15" s="1"/>
  <c r="U178" i="15"/>
  <c r="V178" i="15" s="1"/>
  <c r="T162" i="15"/>
  <c r="U162" i="15" s="1"/>
  <c r="V162" i="15" s="1"/>
  <c r="AH162" i="15"/>
  <c r="AI162" i="15" s="1"/>
  <c r="AJ162" i="15" s="1"/>
  <c r="T154" i="15"/>
  <c r="U154" i="15" s="1"/>
  <c r="V154" i="15" s="1"/>
  <c r="AH154" i="15"/>
  <c r="AI154" i="15" s="1"/>
  <c r="AJ154" i="15" s="1"/>
  <c r="AH146" i="15"/>
  <c r="AI146" i="15" s="1"/>
  <c r="AJ146" i="15" s="1"/>
  <c r="AA146" i="15"/>
  <c r="AB146" i="15" s="1"/>
  <c r="AC146" i="15" s="1"/>
  <c r="AH138" i="15"/>
  <c r="AI138" i="15" s="1"/>
  <c r="AJ138" i="15" s="1"/>
  <c r="AA138" i="15"/>
  <c r="AB138" i="15" s="1"/>
  <c r="AC138" i="15" s="1"/>
  <c r="T138" i="15"/>
  <c r="U138" i="15" s="1"/>
  <c r="V138" i="15" s="1"/>
  <c r="T130" i="15"/>
  <c r="U130" i="15" s="1"/>
  <c r="V130" i="15" s="1"/>
  <c r="AH130" i="15"/>
  <c r="AI130" i="15" s="1"/>
  <c r="AJ130" i="15" s="1"/>
  <c r="T122" i="15"/>
  <c r="U122" i="15" s="1"/>
  <c r="V122" i="15" s="1"/>
  <c r="AH122" i="15"/>
  <c r="AI122" i="15" s="1"/>
  <c r="AJ122" i="15" s="1"/>
  <c r="AA122" i="15"/>
  <c r="AB122" i="15" s="1"/>
  <c r="AC122" i="15" s="1"/>
  <c r="T114" i="15"/>
  <c r="U114" i="15" s="1"/>
  <c r="V114" i="15" s="1"/>
  <c r="AA114" i="15"/>
  <c r="AB114" i="15" s="1"/>
  <c r="AC114" i="15" s="1"/>
  <c r="T106" i="15"/>
  <c r="U106" i="15" s="1"/>
  <c r="V106" i="15" s="1"/>
  <c r="AH106" i="15"/>
  <c r="AI106" i="15" s="1"/>
  <c r="AJ106" i="15" s="1"/>
  <c r="AA106" i="15"/>
  <c r="AB106" i="15" s="1"/>
  <c r="AC106" i="15" s="1"/>
  <c r="T98" i="15"/>
  <c r="U98" i="15" s="1"/>
  <c r="V98" i="15" s="1"/>
  <c r="AH98" i="15"/>
  <c r="AI98" i="15" s="1"/>
  <c r="AJ98" i="15" s="1"/>
  <c r="AA98" i="15"/>
  <c r="AB98" i="15" s="1"/>
  <c r="AC98" i="15" s="1"/>
  <c r="T90" i="15"/>
  <c r="U90" i="15" s="1"/>
  <c r="V90" i="15" s="1"/>
  <c r="AH90" i="15"/>
  <c r="AI90" i="15" s="1"/>
  <c r="AJ90" i="15" s="1"/>
  <c r="AA90" i="15"/>
  <c r="AB90" i="15" s="1"/>
  <c r="AC90" i="15" s="1"/>
  <c r="AH82" i="15"/>
  <c r="AI82" i="15" s="1"/>
  <c r="AJ82" i="15" s="1"/>
  <c r="AA82" i="15"/>
  <c r="AB82" i="15" s="1"/>
  <c r="AC82" i="15" s="1"/>
  <c r="T82" i="15"/>
  <c r="U82" i="15" s="1"/>
  <c r="V82" i="15" s="1"/>
  <c r="AA74" i="15"/>
  <c r="AB74" i="15" s="1"/>
  <c r="AC74" i="15" s="1"/>
  <c r="T74" i="15"/>
  <c r="U74" i="15" s="1"/>
  <c r="V74" i="15" s="1"/>
  <c r="AH74" i="15"/>
  <c r="AI74" i="15" s="1"/>
  <c r="AJ74" i="15" s="1"/>
  <c r="AA65" i="15"/>
  <c r="AB65" i="15" s="1"/>
  <c r="T65" i="15"/>
  <c r="U65" i="15" s="1"/>
  <c r="T32" i="15"/>
  <c r="AA32" i="15"/>
  <c r="AH32" i="15"/>
  <c r="AA249" i="15"/>
  <c r="AB249" i="15" s="1"/>
  <c r="AC249" i="15" s="1"/>
  <c r="AA248" i="15"/>
  <c r="AB248" i="15" s="1"/>
  <c r="AC248" i="15" s="1"/>
  <c r="Q248" i="15"/>
  <c r="AH244" i="15"/>
  <c r="AI244" i="15" s="1"/>
  <c r="AJ244" i="15" s="1"/>
  <c r="T242" i="15"/>
  <c r="U242" i="15" s="1"/>
  <c r="V242" i="15" s="1"/>
  <c r="T232" i="15"/>
  <c r="U232" i="15" s="1"/>
  <c r="V232" i="15" s="1"/>
  <c r="AH220" i="15"/>
  <c r="AI220" i="15" s="1"/>
  <c r="AJ220" i="15" s="1"/>
  <c r="T218" i="15"/>
  <c r="U218" i="15" s="1"/>
  <c r="V218" i="15" s="1"/>
  <c r="AA212" i="15"/>
  <c r="AB212" i="15" s="1"/>
  <c r="AC212" i="15" s="1"/>
  <c r="Q212" i="15"/>
  <c r="AH210" i="15"/>
  <c r="AI210" i="15" s="1"/>
  <c r="AJ210" i="15" s="1"/>
  <c r="AH209" i="15"/>
  <c r="AI209" i="15" s="1"/>
  <c r="AJ209" i="15" s="1"/>
  <c r="AH208" i="15"/>
  <c r="AI208" i="15" s="1"/>
  <c r="AJ208" i="15" s="1"/>
  <c r="T204" i="15"/>
  <c r="U204" i="15" s="1"/>
  <c r="V204" i="15" s="1"/>
  <c r="AA201" i="15"/>
  <c r="AB201" i="15" s="1"/>
  <c r="AC201" i="15" s="1"/>
  <c r="AA196" i="15"/>
  <c r="AB196" i="15" s="1"/>
  <c r="AC196" i="15" s="1"/>
  <c r="Q195" i="15"/>
  <c r="T193" i="15"/>
  <c r="U193" i="15" s="1"/>
  <c r="V193" i="15" s="1"/>
  <c r="T191" i="15"/>
  <c r="U191" i="15" s="1"/>
  <c r="V191" i="15" s="1"/>
  <c r="AA188" i="15"/>
  <c r="AB188" i="15" s="1"/>
  <c r="AC188" i="15" s="1"/>
  <c r="AA186" i="15"/>
  <c r="AB186" i="15" s="1"/>
  <c r="AC186" i="15" s="1"/>
  <c r="Q186" i="15"/>
  <c r="AA177" i="15"/>
  <c r="AB177" i="15" s="1"/>
  <c r="AC177" i="15" s="1"/>
  <c r="AA176" i="15"/>
  <c r="AB176" i="15" s="1"/>
  <c r="AC176" i="15" s="1"/>
  <c r="AA175" i="15"/>
  <c r="AB175" i="15" s="1"/>
  <c r="AC175" i="15" s="1"/>
  <c r="Q175" i="15"/>
  <c r="T169" i="15"/>
  <c r="U169" i="15" s="1"/>
  <c r="V169" i="15" s="1"/>
  <c r="T168" i="15"/>
  <c r="U168" i="15" s="1"/>
  <c r="V168" i="15" s="1"/>
  <c r="Q136" i="15"/>
  <c r="AA130" i="15"/>
  <c r="AB130" i="15" s="1"/>
  <c r="AC130" i="15" s="1"/>
  <c r="Q128" i="15"/>
  <c r="AH114" i="15"/>
  <c r="AI114" i="15" s="1"/>
  <c r="AJ114" i="15" s="1"/>
  <c r="Q110" i="15"/>
  <c r="Q76" i="15"/>
  <c r="Q62" i="15"/>
  <c r="Q42" i="15"/>
  <c r="AH161" i="15"/>
  <c r="AI161" i="15" s="1"/>
  <c r="AJ161" i="15" s="1"/>
  <c r="AA161" i="15"/>
  <c r="AB161" i="15" s="1"/>
  <c r="AC161" i="15" s="1"/>
  <c r="T153" i="15"/>
  <c r="U153" i="15" s="1"/>
  <c r="V153" i="15" s="1"/>
  <c r="AH153" i="15"/>
  <c r="AI153" i="15" s="1"/>
  <c r="AJ153" i="15" s="1"/>
  <c r="AA153" i="15"/>
  <c r="AB153" i="15" s="1"/>
  <c r="AC153" i="15" s="1"/>
  <c r="AA145" i="15"/>
  <c r="AB145" i="15" s="1"/>
  <c r="AC145" i="15" s="1"/>
  <c r="T145" i="15"/>
  <c r="U145" i="15" s="1"/>
  <c r="V145" i="15" s="1"/>
  <c r="AH145" i="15"/>
  <c r="AI145" i="15" s="1"/>
  <c r="AJ145" i="15" s="1"/>
  <c r="AH137" i="15"/>
  <c r="AI137" i="15" s="1"/>
  <c r="AJ137" i="15" s="1"/>
  <c r="AA137" i="15"/>
  <c r="AB137" i="15" s="1"/>
  <c r="AC137" i="15" s="1"/>
  <c r="T129" i="15"/>
  <c r="U129" i="15" s="1"/>
  <c r="V129" i="15" s="1"/>
  <c r="AH129" i="15"/>
  <c r="AI129" i="15" s="1"/>
  <c r="AJ129" i="15" s="1"/>
  <c r="T121" i="15"/>
  <c r="U121" i="15" s="1"/>
  <c r="V121" i="15" s="1"/>
  <c r="AA121" i="15"/>
  <c r="AB121" i="15" s="1"/>
  <c r="AC121" i="15" s="1"/>
  <c r="AA113" i="15"/>
  <c r="AB113" i="15" s="1"/>
  <c r="AC113" i="15" s="1"/>
  <c r="T113" i="15"/>
  <c r="U113" i="15" s="1"/>
  <c r="V113" i="15" s="1"/>
  <c r="AH113" i="15"/>
  <c r="AI113" i="15" s="1"/>
  <c r="AJ113" i="15" s="1"/>
  <c r="T105" i="15"/>
  <c r="U105" i="15" s="1"/>
  <c r="V105" i="15" s="1"/>
  <c r="AH105" i="15"/>
  <c r="AI105" i="15" s="1"/>
  <c r="AJ105" i="15" s="1"/>
  <c r="AA105" i="15"/>
  <c r="AB105" i="15" s="1"/>
  <c r="AC105" i="15" s="1"/>
  <c r="T97" i="15"/>
  <c r="U97" i="15" s="1"/>
  <c r="V97" i="15" s="1"/>
  <c r="AH97" i="15"/>
  <c r="AI97" i="15" s="1"/>
  <c r="AJ97" i="15" s="1"/>
  <c r="AA97" i="15"/>
  <c r="AB97" i="15" s="1"/>
  <c r="AC97" i="15" s="1"/>
  <c r="T89" i="15"/>
  <c r="U89" i="15" s="1"/>
  <c r="V89" i="15" s="1"/>
  <c r="AH89" i="15"/>
  <c r="AI89" i="15" s="1"/>
  <c r="AJ89" i="15" s="1"/>
  <c r="AA89" i="15"/>
  <c r="AB89" i="15" s="1"/>
  <c r="AC89" i="15" s="1"/>
  <c r="AH81" i="15"/>
  <c r="AI81" i="15" s="1"/>
  <c r="AJ81" i="15" s="1"/>
  <c r="AA81" i="15"/>
  <c r="AB81" i="15" s="1"/>
  <c r="AC81" i="15" s="1"/>
  <c r="T81" i="15"/>
  <c r="U81" i="15" s="1"/>
  <c r="V81" i="15" s="1"/>
  <c r="AA73" i="15"/>
  <c r="AB73" i="15" s="1"/>
  <c r="AC73" i="15" s="1"/>
  <c r="T73" i="15"/>
  <c r="U73" i="15" s="1"/>
  <c r="V73" i="15" s="1"/>
  <c r="AH73" i="15"/>
  <c r="AI73" i="15" s="1"/>
  <c r="AJ73" i="15" s="1"/>
  <c r="AA62" i="15"/>
  <c r="AB62" i="15" s="1"/>
  <c r="T62" i="15"/>
  <c r="U62" i="15" s="1"/>
  <c r="AH62" i="15"/>
  <c r="AI62" i="15" s="1"/>
  <c r="AA31" i="15"/>
  <c r="AB31" i="15" s="1"/>
  <c r="AC31" i="15" s="1"/>
  <c r="T31" i="15"/>
  <c r="U31" i="15" s="1"/>
  <c r="V31" i="15" s="1"/>
  <c r="AB250" i="15"/>
  <c r="AC250" i="15" s="1"/>
  <c r="Q240" i="15"/>
  <c r="Q239" i="15"/>
  <c r="T233" i="15"/>
  <c r="U233" i="15" s="1"/>
  <c r="V233" i="15" s="1"/>
  <c r="Q231" i="15"/>
  <c r="T226" i="15"/>
  <c r="U226" i="15" s="1"/>
  <c r="V226" i="15" s="1"/>
  <c r="Q224" i="15"/>
  <c r="AA217" i="15"/>
  <c r="AB217" i="15" s="1"/>
  <c r="AC217" i="15" s="1"/>
  <c r="AA216" i="15"/>
  <c r="AB216" i="15" s="1"/>
  <c r="AC216" i="15" s="1"/>
  <c r="Q216" i="15"/>
  <c r="AA215" i="15"/>
  <c r="AB215" i="15" s="1"/>
  <c r="AC215" i="15" s="1"/>
  <c r="Q215" i="15"/>
  <c r="T207" i="15"/>
  <c r="U207" i="15" s="1"/>
  <c r="V207" i="15" s="1"/>
  <c r="AA202" i="15"/>
  <c r="AB202" i="15" s="1"/>
  <c r="AC202" i="15" s="1"/>
  <c r="Q201" i="15"/>
  <c r="AH199" i="15"/>
  <c r="AI199" i="15" s="1"/>
  <c r="AJ199" i="15" s="1"/>
  <c r="AA194" i="15"/>
  <c r="AB194" i="15" s="1"/>
  <c r="AC194" i="15" s="1"/>
  <c r="T192" i="15"/>
  <c r="U192" i="15" s="1"/>
  <c r="V192" i="15" s="1"/>
  <c r="Q187" i="15"/>
  <c r="AH185" i="15"/>
  <c r="AI185" i="15" s="1"/>
  <c r="AJ185" i="15" s="1"/>
  <c r="Q178" i="15"/>
  <c r="T172" i="15"/>
  <c r="U172" i="15" s="1"/>
  <c r="V172" i="15" s="1"/>
  <c r="AA164" i="15"/>
  <c r="AB164" i="15" s="1"/>
  <c r="AC164" i="15" s="1"/>
  <c r="T161" i="15"/>
  <c r="U161" i="15" s="1"/>
  <c r="V161" i="15" s="1"/>
  <c r="Q160" i="15"/>
  <c r="Q158" i="15"/>
  <c r="Q138" i="15"/>
  <c r="Q96" i="15"/>
  <c r="Q78" i="15"/>
  <c r="Q69" i="15"/>
  <c r="Q9" i="15"/>
  <c r="AH160" i="15"/>
  <c r="AI160" i="15" s="1"/>
  <c r="AJ160" i="15" s="1"/>
  <c r="AA160" i="15"/>
  <c r="AB160" i="15" s="1"/>
  <c r="AC160" i="15" s="1"/>
  <c r="AA152" i="15"/>
  <c r="AB152" i="15" s="1"/>
  <c r="AC152" i="15" s="1"/>
  <c r="T152" i="15"/>
  <c r="U152" i="15" s="1"/>
  <c r="V152" i="15" s="1"/>
  <c r="AA144" i="15"/>
  <c r="AB144" i="15" s="1"/>
  <c r="AC144" i="15" s="1"/>
  <c r="T144" i="15"/>
  <c r="U144" i="15" s="1"/>
  <c r="V144" i="15" s="1"/>
  <c r="AH144" i="15"/>
  <c r="AI144" i="15" s="1"/>
  <c r="AJ144" i="15" s="1"/>
  <c r="AH136" i="15"/>
  <c r="AI136" i="15" s="1"/>
  <c r="AJ136" i="15" s="1"/>
  <c r="AA136" i="15"/>
  <c r="AB136" i="15" s="1"/>
  <c r="AC136" i="15" s="1"/>
  <c r="T136" i="15"/>
  <c r="U136" i="15" s="1"/>
  <c r="V136" i="15" s="1"/>
  <c r="T128" i="15"/>
  <c r="U128" i="15" s="1"/>
  <c r="V128" i="15" s="1"/>
  <c r="AH128" i="15"/>
  <c r="AI128" i="15" s="1"/>
  <c r="AJ128" i="15" s="1"/>
  <c r="AA128" i="15"/>
  <c r="AB128" i="15" s="1"/>
  <c r="AC128" i="15" s="1"/>
  <c r="T120" i="15"/>
  <c r="U120" i="15" s="1"/>
  <c r="V120" i="15" s="1"/>
  <c r="AH120" i="15"/>
  <c r="AI120" i="15" s="1"/>
  <c r="AJ120" i="15" s="1"/>
  <c r="AA120" i="15"/>
  <c r="AB120" i="15" s="1"/>
  <c r="AC120" i="15" s="1"/>
  <c r="AA112" i="15"/>
  <c r="AB112" i="15" s="1"/>
  <c r="AC112" i="15" s="1"/>
  <c r="T112" i="15"/>
  <c r="U112" i="15" s="1"/>
  <c r="V112" i="15" s="1"/>
  <c r="AH112" i="15"/>
  <c r="AI112" i="15" s="1"/>
  <c r="AJ112" i="15" s="1"/>
  <c r="T104" i="15"/>
  <c r="U104" i="15" s="1"/>
  <c r="V104" i="15" s="1"/>
  <c r="AH104" i="15"/>
  <c r="AI104" i="15" s="1"/>
  <c r="AJ104" i="15" s="1"/>
  <c r="AA104" i="15"/>
  <c r="AB104" i="15" s="1"/>
  <c r="AC104" i="15" s="1"/>
  <c r="T96" i="15"/>
  <c r="U96" i="15" s="1"/>
  <c r="V96" i="15" s="1"/>
  <c r="AH96" i="15"/>
  <c r="AI96" i="15" s="1"/>
  <c r="AJ96" i="15" s="1"/>
  <c r="AA96" i="15"/>
  <c r="AB96" i="15" s="1"/>
  <c r="AC96" i="15" s="1"/>
  <c r="AA88" i="15"/>
  <c r="AB88" i="15" s="1"/>
  <c r="AC88" i="15" s="1"/>
  <c r="T88" i="15"/>
  <c r="U88" i="15" s="1"/>
  <c r="V88" i="15" s="1"/>
  <c r="AH80" i="15"/>
  <c r="AI80" i="15" s="1"/>
  <c r="AJ80" i="15" s="1"/>
  <c r="AA80" i="15"/>
  <c r="AB80" i="15" s="1"/>
  <c r="AC80" i="15" s="1"/>
  <c r="T80" i="15"/>
  <c r="U80" i="15" s="1"/>
  <c r="V80" i="15" s="1"/>
  <c r="AA72" i="15"/>
  <c r="AB72" i="15" s="1"/>
  <c r="AC72" i="15" s="1"/>
  <c r="AH72" i="15"/>
  <c r="AI72" i="15" s="1"/>
  <c r="AJ72" i="15" s="1"/>
  <c r="AA59" i="15"/>
  <c r="T59" i="15"/>
  <c r="AH59" i="15"/>
  <c r="T9" i="15"/>
  <c r="AH9" i="15"/>
  <c r="AA9" i="15"/>
  <c r="Q250" i="15"/>
  <c r="AH200" i="15"/>
  <c r="AI200" i="15" s="1"/>
  <c r="AJ200" i="15" s="1"/>
  <c r="Q197" i="15"/>
  <c r="AA193" i="15"/>
  <c r="AB193" i="15" s="1"/>
  <c r="AC193" i="15" s="1"/>
  <c r="Q189" i="15"/>
  <c r="Q179" i="15"/>
  <c r="AA178" i="15"/>
  <c r="AB178" i="15" s="1"/>
  <c r="AC178" i="15" s="1"/>
  <c r="Q167" i="15"/>
  <c r="T137" i="15"/>
  <c r="U137" i="15" s="1"/>
  <c r="V137" i="15" s="1"/>
  <c r="Q133" i="15"/>
  <c r="Q125" i="15"/>
  <c r="Q123" i="15"/>
  <c r="Q121" i="15"/>
  <c r="Q102" i="15"/>
  <c r="Q73" i="15"/>
  <c r="AH65" i="15"/>
  <c r="AI65" i="15" s="1"/>
  <c r="Q57" i="15"/>
  <c r="AH159" i="15"/>
  <c r="AI159" i="15" s="1"/>
  <c r="AJ159" i="15" s="1"/>
  <c r="AA159" i="15"/>
  <c r="AB159" i="15" s="1"/>
  <c r="AC159" i="15" s="1"/>
  <c r="T159" i="15"/>
  <c r="U159" i="15" s="1"/>
  <c r="V159" i="15" s="1"/>
  <c r="AA151" i="15"/>
  <c r="AB151" i="15" s="1"/>
  <c r="AC151" i="15" s="1"/>
  <c r="T151" i="15"/>
  <c r="U151" i="15" s="1"/>
  <c r="V151" i="15" s="1"/>
  <c r="AA143" i="15"/>
  <c r="AB143" i="15" s="1"/>
  <c r="AC143" i="15" s="1"/>
  <c r="AH143" i="15"/>
  <c r="AI143" i="15" s="1"/>
  <c r="AJ143" i="15" s="1"/>
  <c r="AH135" i="15"/>
  <c r="AI135" i="15" s="1"/>
  <c r="AJ135" i="15" s="1"/>
  <c r="AA135" i="15"/>
  <c r="AB135" i="15" s="1"/>
  <c r="AC135" i="15" s="1"/>
  <c r="T135" i="15"/>
  <c r="U135" i="15" s="1"/>
  <c r="V135" i="15" s="1"/>
  <c r="T127" i="15"/>
  <c r="U127" i="15" s="1"/>
  <c r="V127" i="15" s="1"/>
  <c r="AH127" i="15"/>
  <c r="AI127" i="15" s="1"/>
  <c r="AJ127" i="15" s="1"/>
  <c r="AA127" i="15"/>
  <c r="AB127" i="15" s="1"/>
  <c r="AC127" i="15" s="1"/>
  <c r="T119" i="15"/>
  <c r="U119" i="15" s="1"/>
  <c r="V119" i="15" s="1"/>
  <c r="AH119" i="15"/>
  <c r="AI119" i="15" s="1"/>
  <c r="AJ119" i="15" s="1"/>
  <c r="AA119" i="15"/>
  <c r="AB119" i="15" s="1"/>
  <c r="AC119" i="15" s="1"/>
  <c r="AA111" i="15"/>
  <c r="AB111" i="15" s="1"/>
  <c r="AC111" i="15" s="1"/>
  <c r="T111" i="15"/>
  <c r="U111" i="15" s="1"/>
  <c r="V111" i="15" s="1"/>
  <c r="AH111" i="15"/>
  <c r="AI111" i="15" s="1"/>
  <c r="AJ111" i="15" s="1"/>
  <c r="T103" i="15"/>
  <c r="U103" i="15" s="1"/>
  <c r="V103" i="15" s="1"/>
  <c r="AA103" i="15"/>
  <c r="AB103" i="15" s="1"/>
  <c r="AC103" i="15" s="1"/>
  <c r="T95" i="15"/>
  <c r="U95" i="15" s="1"/>
  <c r="V95" i="15" s="1"/>
  <c r="AH95" i="15"/>
  <c r="AI95" i="15" s="1"/>
  <c r="AJ95" i="15" s="1"/>
  <c r="AA95" i="15"/>
  <c r="AB95" i="15" s="1"/>
  <c r="AC95" i="15" s="1"/>
  <c r="AA87" i="15"/>
  <c r="AB87" i="15" s="1"/>
  <c r="AC87" i="15" s="1"/>
  <c r="T87" i="15"/>
  <c r="U87" i="15" s="1"/>
  <c r="V87" i="15" s="1"/>
  <c r="AH79" i="15"/>
  <c r="AI79" i="15" s="1"/>
  <c r="AJ79" i="15" s="1"/>
  <c r="AA79" i="15"/>
  <c r="AB79" i="15" s="1"/>
  <c r="AC79" i="15" s="1"/>
  <c r="T79" i="15"/>
  <c r="U79" i="15" s="1"/>
  <c r="V79" i="15" s="1"/>
  <c r="AH71" i="15"/>
  <c r="AI71" i="15" s="1"/>
  <c r="AJ71" i="15" s="1"/>
  <c r="AA71" i="15"/>
  <c r="AB71" i="15" s="1"/>
  <c r="AC71" i="15" s="1"/>
  <c r="AA58" i="15"/>
  <c r="AB58" i="15" s="1"/>
  <c r="AC58" i="15" s="1"/>
  <c r="T58" i="15"/>
  <c r="U58" i="15" s="1"/>
  <c r="V58" i="15" s="1"/>
  <c r="AH58" i="15"/>
  <c r="AI58" i="15" s="1"/>
  <c r="AJ58" i="15" s="1"/>
  <c r="Q251" i="15"/>
  <c r="Q242" i="15"/>
  <c r="Q232" i="15"/>
  <c r="Q219" i="15"/>
  <c r="Q218" i="15"/>
  <c r="Q203" i="15"/>
  <c r="Q191" i="15"/>
  <c r="Q190" i="15"/>
  <c r="Q154" i="15"/>
  <c r="Q152" i="15"/>
  <c r="T143" i="15"/>
  <c r="U143" i="15" s="1"/>
  <c r="V143" i="15" s="1"/>
  <c r="Q127" i="15"/>
  <c r="AH124" i="15"/>
  <c r="AI124" i="15" s="1"/>
  <c r="AJ124" i="15" s="1"/>
  <c r="Q109" i="15"/>
  <c r="AH103" i="15"/>
  <c r="AI103" i="15" s="1"/>
  <c r="AJ103" i="15" s="1"/>
  <c r="AH88" i="15"/>
  <c r="AI88" i="15" s="1"/>
  <c r="AJ88" i="15" s="1"/>
  <c r="T72" i="15"/>
  <c r="U72" i="15" s="1"/>
  <c r="V72" i="15" s="1"/>
  <c r="Q18" i="15"/>
  <c r="Q207" i="15"/>
  <c r="Q198" i="15"/>
  <c r="T183" i="15"/>
  <c r="U183" i="15" s="1"/>
  <c r="V183" i="15" s="1"/>
  <c r="AA180" i="15"/>
  <c r="AB180" i="15" s="1"/>
  <c r="AC180" i="15" s="1"/>
  <c r="AH178" i="15"/>
  <c r="AI178" i="15" s="1"/>
  <c r="AJ178" i="15" s="1"/>
  <c r="Q161" i="15"/>
  <c r="AA154" i="15"/>
  <c r="AB154" i="15" s="1"/>
  <c r="AC154" i="15" s="1"/>
  <c r="Q118" i="15"/>
  <c r="Q116" i="15"/>
  <c r="Q106" i="15"/>
  <c r="Q93" i="15"/>
  <c r="Q84" i="15"/>
  <c r="Q32" i="15"/>
  <c r="Q10" i="15"/>
  <c r="Q151" i="15"/>
  <c r="Q150" i="15"/>
  <c r="Q119" i="15"/>
  <c r="Q115" i="15"/>
  <c r="Q114" i="15"/>
  <c r="Q104" i="15"/>
  <c r="Q91" i="15"/>
  <c r="Q88" i="15"/>
  <c r="Q75" i="15"/>
  <c r="Q65" i="15"/>
  <c r="Q126" i="15"/>
  <c r="Q103" i="15"/>
  <c r="Q98" i="15"/>
  <c r="Q95" i="15"/>
  <c r="Q67" i="15"/>
  <c r="Q166" i="15"/>
  <c r="Q159" i="15"/>
  <c r="Q107" i="15"/>
  <c r="Q79" i="15"/>
  <c r="AD15" i="15"/>
  <c r="Q135" i="15"/>
  <c r="Q134" i="15"/>
  <c r="Q80" i="15"/>
  <c r="Q41" i="15"/>
  <c r="Q8" i="15"/>
  <c r="Q143" i="15"/>
  <c r="Q142" i="15"/>
  <c r="Q83" i="15"/>
  <c r="Q72" i="15"/>
  <c r="Q71" i="15"/>
  <c r="Q7" i="15"/>
  <c r="Q5" i="15"/>
  <c r="Q112" i="15"/>
  <c r="Q111" i="15"/>
  <c r="Q82" i="15"/>
  <c r="Q59" i="15"/>
  <c r="Q58" i="15"/>
  <c r="Q87" i="15"/>
  <c r="Q74" i="15"/>
  <c r="Q31" i="15"/>
  <c r="Q16" i="15"/>
  <c r="AH2" i="15"/>
  <c r="AI2" i="15" s="1"/>
  <c r="AJ2" i="15" s="1"/>
  <c r="T2" i="15"/>
  <c r="U2" i="15" s="1"/>
  <c r="V2" i="15" s="1"/>
  <c r="W3" i="15"/>
  <c r="AD3" i="15"/>
  <c r="AC3" i="15"/>
  <c r="AE3" i="15"/>
  <c r="X3" i="15"/>
  <c r="V3" i="15"/>
  <c r="Q2" i="15"/>
  <c r="AB2" i="15"/>
  <c r="AC2" i="15" s="1"/>
  <c r="AL16" i="21"/>
  <c r="AE10" i="21"/>
  <c r="AD16" i="21"/>
  <c r="W2" i="21"/>
  <c r="R3" i="21" s="1"/>
  <c r="AK7" i="21"/>
  <c r="X10" i="21"/>
  <c r="AL10" i="21"/>
  <c r="AK12" i="21"/>
  <c r="W30" i="21"/>
  <c r="R31" i="21" s="1"/>
  <c r="T31" i="21" s="1"/>
  <c r="X11" i="21"/>
  <c r="W6" i="21"/>
  <c r="AE11" i="21"/>
  <c r="W3" i="21"/>
  <c r="AJ34" i="21"/>
  <c r="U2" i="21"/>
  <c r="X2" i="21" s="1"/>
  <c r="AB2" i="21"/>
  <c r="W12" i="21"/>
  <c r="U19" i="21"/>
  <c r="V19" i="21" s="1"/>
  <c r="U6" i="21"/>
  <c r="X6" i="21" s="1"/>
  <c r="W11" i="21"/>
  <c r="W10" i="21"/>
  <c r="U38" i="21"/>
  <c r="U9" i="21"/>
  <c r="AB16" i="21"/>
  <c r="AE16" i="21" s="1"/>
  <c r="AB50" i="21"/>
  <c r="AB32" i="21"/>
  <c r="AD10" i="21"/>
  <c r="AI9" i="21"/>
  <c r="AJ9" i="21" s="1"/>
  <c r="AI48" i="21"/>
  <c r="AB44" i="21"/>
  <c r="AB34" i="21"/>
  <c r="AC34" i="21" s="1"/>
  <c r="AC29" i="21"/>
  <c r="AB54" i="21"/>
  <c r="AB49" i="21"/>
  <c r="AB39" i="21"/>
  <c r="AD11" i="21"/>
  <c r="AI38" i="21"/>
  <c r="AI53" i="21"/>
  <c r="AK16" i="21"/>
  <c r="AB9" i="21"/>
  <c r="AC9" i="21" s="1"/>
  <c r="AI7" i="21"/>
  <c r="AL7" i="21" s="1"/>
  <c r="AI49" i="21"/>
  <c r="AI39" i="21"/>
  <c r="AI12" i="21"/>
  <c r="AL12" i="21" s="1"/>
  <c r="U30" i="21"/>
  <c r="X30" i="21" s="1"/>
  <c r="V44" i="21"/>
  <c r="U16" i="21"/>
  <c r="W16" i="21"/>
  <c r="AB15" i="21"/>
  <c r="AB7" i="21"/>
  <c r="AD7" i="21"/>
  <c r="U39" i="21"/>
  <c r="AB38" i="21"/>
  <c r="U32" i="21"/>
  <c r="AJ29" i="21"/>
  <c r="X7" i="21"/>
  <c r="AC30" i="21"/>
  <c r="AE30" i="21"/>
  <c r="AD2" i="21"/>
  <c r="V29" i="21"/>
  <c r="AC19" i="21"/>
  <c r="U54" i="21"/>
  <c r="AB53" i="21"/>
  <c r="AI52" i="21"/>
  <c r="U46" i="21"/>
  <c r="AI44" i="21"/>
  <c r="V15" i="21"/>
  <c r="AE12" i="21"/>
  <c r="AK4" i="21"/>
  <c r="AJ15" i="21"/>
  <c r="X12" i="21"/>
  <c r="AL11" i="21"/>
  <c r="AI6" i="21"/>
  <c r="AK6" i="21"/>
  <c r="U34" i="21"/>
  <c r="AI30" i="21"/>
  <c r="AK30" i="21"/>
  <c r="AJ19" i="21"/>
  <c r="AE6" i="21"/>
  <c r="AI32" i="21"/>
  <c r="AK10" i="21"/>
  <c r="W4" i="21"/>
  <c r="AD3" i="21"/>
  <c r="AD12" i="21"/>
  <c r="AK11" i="21"/>
  <c r="AD4" i="21"/>
  <c r="AK3" i="21"/>
  <c r="AD30" i="21"/>
  <c r="W7" i="21"/>
  <c r="AD6" i="21"/>
  <c r="AJ2" i="21"/>
  <c r="AK2" i="21"/>
  <c r="AL2" i="21"/>
  <c r="P8" i="21"/>
  <c r="Q8" i="21" s="1"/>
  <c r="AK40" i="15"/>
  <c r="P15" i="14"/>
  <c r="P17" i="14"/>
  <c r="P20" i="14"/>
  <c r="P21" i="14"/>
  <c r="P22" i="14"/>
  <c r="P23" i="14"/>
  <c r="P24" i="14"/>
  <c r="P25" i="14"/>
  <c r="P26" i="14"/>
  <c r="P27" i="14"/>
  <c r="P28" i="14"/>
  <c r="P29" i="14"/>
  <c r="P30" i="14"/>
  <c r="P31" i="14"/>
  <c r="P32" i="14"/>
  <c r="P33" i="14"/>
  <c r="P34" i="14"/>
  <c r="P35" i="14"/>
  <c r="F31" i="15"/>
  <c r="F16" i="15"/>
  <c r="Y56" i="15" l="1"/>
  <c r="Y51" i="15"/>
  <c r="Y52" i="15"/>
  <c r="Y53" i="15"/>
  <c r="Z56" i="15"/>
  <c r="AB56" i="15" s="1"/>
  <c r="AC56" i="15" s="1"/>
  <c r="Z51" i="15"/>
  <c r="Z52" i="15"/>
  <c r="Z53" i="15"/>
  <c r="AF56" i="15"/>
  <c r="AF52" i="15"/>
  <c r="AF53" i="15"/>
  <c r="AF51" i="15"/>
  <c r="Y55" i="15"/>
  <c r="AF55" i="15"/>
  <c r="Z55" i="15"/>
  <c r="Y48" i="15"/>
  <c r="Y54" i="15"/>
  <c r="Z48" i="15"/>
  <c r="AB48" i="15" s="1"/>
  <c r="AC48" i="15" s="1"/>
  <c r="Z54" i="15"/>
  <c r="AF48" i="15"/>
  <c r="Y47" i="15"/>
  <c r="Y46" i="15"/>
  <c r="Z43" i="15"/>
  <c r="AB43" i="15" s="1"/>
  <c r="AC43" i="15" s="1"/>
  <c r="Z47" i="15"/>
  <c r="Z46" i="15"/>
  <c r="AF46" i="15"/>
  <c r="AF47" i="15"/>
  <c r="Y43" i="15"/>
  <c r="Z27" i="15"/>
  <c r="AB27" i="15" s="1"/>
  <c r="AC27" i="15" s="1"/>
  <c r="Z29" i="15"/>
  <c r="AB29" i="15" s="1"/>
  <c r="AC29" i="15" s="1"/>
  <c r="Z28" i="15"/>
  <c r="AB28" i="15" s="1"/>
  <c r="AC28" i="15" s="1"/>
  <c r="Y28" i="15"/>
  <c r="Y27" i="15"/>
  <c r="Y29" i="15"/>
  <c r="Y24" i="15"/>
  <c r="Y25" i="15"/>
  <c r="Y23" i="15"/>
  <c r="Z24" i="15"/>
  <c r="AB24" i="15" s="1"/>
  <c r="AC24" i="15" s="1"/>
  <c r="Z25" i="15"/>
  <c r="AB25" i="15" s="1"/>
  <c r="AC25" i="15" s="1"/>
  <c r="Z23" i="15"/>
  <c r="AB23" i="15" s="1"/>
  <c r="AC23" i="15" s="1"/>
  <c r="Y50" i="15"/>
  <c r="Y26" i="15"/>
  <c r="AF50" i="15"/>
  <c r="Z50" i="15"/>
  <c r="Z26" i="15"/>
  <c r="R14" i="15"/>
  <c r="S14" i="15"/>
  <c r="U14" i="15" s="1"/>
  <c r="Y14" i="15"/>
  <c r="Y22" i="15"/>
  <c r="Z14" i="15"/>
  <c r="AB14" i="15" s="1"/>
  <c r="AC14" i="15" s="1"/>
  <c r="Z22" i="15"/>
  <c r="AB22" i="15" s="1"/>
  <c r="AC22" i="15" s="1"/>
  <c r="Z20" i="15"/>
  <c r="AB20" i="15" s="1"/>
  <c r="AC20" i="15" s="1"/>
  <c r="Z21" i="15"/>
  <c r="AB21" i="15" s="1"/>
  <c r="AC21" i="15" s="1"/>
  <c r="Y20" i="15"/>
  <c r="Y21" i="15"/>
  <c r="Y11" i="15"/>
  <c r="Y12" i="15"/>
  <c r="R11" i="15"/>
  <c r="R12" i="15"/>
  <c r="S12" i="15"/>
  <c r="S11" i="15"/>
  <c r="Z12" i="15"/>
  <c r="Z11" i="15"/>
  <c r="S6" i="15"/>
  <c r="U6" i="15" s="1"/>
  <c r="Z6" i="15"/>
  <c r="AB6" i="15" s="1"/>
  <c r="AC6" i="15" s="1"/>
  <c r="Y10" i="15"/>
  <c r="AA10" i="15" s="1"/>
  <c r="Y6" i="15"/>
  <c r="R5" i="15"/>
  <c r="R6" i="15"/>
  <c r="Z49" i="15"/>
  <c r="AF49" i="15"/>
  <c r="Y49" i="15"/>
  <c r="Z57" i="15"/>
  <c r="Z45" i="15"/>
  <c r="AF57" i="15"/>
  <c r="AF45" i="15"/>
  <c r="Y57" i="15"/>
  <c r="Y45" i="15"/>
  <c r="AI57" i="15"/>
  <c r="AL57" i="15" s="1"/>
  <c r="AK57" i="15"/>
  <c r="AB57" i="15"/>
  <c r="AE57" i="15" s="1"/>
  <c r="Z13" i="15" s="1"/>
  <c r="AD57" i="15"/>
  <c r="Y13" i="15" s="1"/>
  <c r="Z42" i="15"/>
  <c r="Z44" i="15"/>
  <c r="AF42" i="15"/>
  <c r="AH42" i="15" s="1"/>
  <c r="AF44" i="15"/>
  <c r="Y42" i="15"/>
  <c r="AA42" i="15" s="1"/>
  <c r="Y44" i="15"/>
  <c r="Z19" i="15"/>
  <c r="Y17" i="15"/>
  <c r="AA17" i="15" s="1"/>
  <c r="Y19" i="15"/>
  <c r="AA19" i="15" s="1"/>
  <c r="R9" i="15"/>
  <c r="Z18" i="15"/>
  <c r="Z17" i="15"/>
  <c r="Y18" i="15"/>
  <c r="AA18" i="15" s="1"/>
  <c r="Y7" i="15"/>
  <c r="Z30" i="15"/>
  <c r="R8" i="15"/>
  <c r="T8" i="15" s="1"/>
  <c r="R10" i="15"/>
  <c r="T10" i="15" s="1"/>
  <c r="R7" i="15"/>
  <c r="R15" i="15"/>
  <c r="T15" i="15" s="1"/>
  <c r="U15" i="15" s="1"/>
  <c r="Y30" i="15"/>
  <c r="AA30" i="15" s="1"/>
  <c r="AD30" i="15" s="1"/>
  <c r="Y39" i="15" s="1"/>
  <c r="Y4" i="15"/>
  <c r="AA4" i="15" s="1"/>
  <c r="Y8" i="15"/>
  <c r="AA8" i="15" s="1"/>
  <c r="R4" i="15"/>
  <c r="T4" i="15" s="1"/>
  <c r="Y15" i="15"/>
  <c r="Y5" i="15"/>
  <c r="Y9" i="15"/>
  <c r="Z10" i="15"/>
  <c r="Z7" i="15"/>
  <c r="Z9" i="15"/>
  <c r="AB9" i="15" s="1"/>
  <c r="Z5" i="15"/>
  <c r="AB5" i="15" s="1"/>
  <c r="AC5" i="15" s="1"/>
  <c r="Z15" i="15"/>
  <c r="AC15" i="15" s="1"/>
  <c r="Z8" i="15"/>
  <c r="Z4" i="15"/>
  <c r="S4" i="15"/>
  <c r="S10" i="15"/>
  <c r="S7" i="15"/>
  <c r="U7" i="15" s="1"/>
  <c r="G18" i="24" s="1"/>
  <c r="AA6" i="24" s="1"/>
  <c r="S9" i="15"/>
  <c r="S5" i="15"/>
  <c r="U5" i="15" s="1"/>
  <c r="G3" i="24" s="1"/>
  <c r="S15" i="15"/>
  <c r="S8" i="15"/>
  <c r="AL40" i="15"/>
  <c r="R7" i="21"/>
  <c r="R8" i="21"/>
  <c r="T8" i="21" s="1"/>
  <c r="W8" i="21" s="1"/>
  <c r="R5" i="21"/>
  <c r="V2" i="21"/>
  <c r="R6" i="21"/>
  <c r="R33" i="21"/>
  <c r="T33" i="21" s="1"/>
  <c r="R32" i="21"/>
  <c r="AG3" i="21"/>
  <c r="AI3" i="21" s="1"/>
  <c r="AG4" i="21"/>
  <c r="AI4" i="21" s="1"/>
  <c r="AG5" i="21"/>
  <c r="AJ5" i="21" s="1"/>
  <c r="AG6" i="21"/>
  <c r="AJ6" i="21" s="1"/>
  <c r="AG7" i="21"/>
  <c r="AJ7" i="21" s="1"/>
  <c r="AG8" i="21"/>
  <c r="AF3" i="21"/>
  <c r="AF4" i="21"/>
  <c r="AF5" i="21"/>
  <c r="AF6" i="21"/>
  <c r="AF7" i="21"/>
  <c r="AF8" i="21"/>
  <c r="AH8" i="21" s="1"/>
  <c r="AF32" i="21"/>
  <c r="AF31" i="21"/>
  <c r="AF33" i="21"/>
  <c r="Z31" i="21"/>
  <c r="Z32" i="21"/>
  <c r="AC32" i="21" s="1"/>
  <c r="Z33" i="21"/>
  <c r="AC2" i="21"/>
  <c r="Y32" i="21"/>
  <c r="Y31" i="21"/>
  <c r="Y33" i="21"/>
  <c r="Y3" i="21"/>
  <c r="Y5" i="21"/>
  <c r="Y6" i="21"/>
  <c r="Y7" i="21"/>
  <c r="Y8" i="21"/>
  <c r="AA8" i="21" s="1"/>
  <c r="R4" i="21"/>
  <c r="S3" i="21"/>
  <c r="U3" i="21" s="1"/>
  <c r="S4" i="21"/>
  <c r="U4" i="21" s="1"/>
  <c r="S5" i="21"/>
  <c r="V5" i="21" s="1"/>
  <c r="S6" i="21"/>
  <c r="V6" i="21" s="1"/>
  <c r="S7" i="21"/>
  <c r="V7" i="21" s="1"/>
  <c r="S8" i="21"/>
  <c r="S31" i="21"/>
  <c r="S32" i="21"/>
  <c r="V32" i="21" s="1"/>
  <c r="S33" i="21"/>
  <c r="AE2" i="21"/>
  <c r="V9" i="21"/>
  <c r="AC44" i="21"/>
  <c r="V30" i="21"/>
  <c r="X16" i="21"/>
  <c r="U8" i="21"/>
  <c r="AJ44" i="21"/>
  <c r="AE7" i="21"/>
  <c r="AL6" i="21"/>
  <c r="AC15" i="21"/>
  <c r="AL30" i="21"/>
  <c r="AJ30" i="21"/>
  <c r="V34" i="21"/>
  <c r="AK3" i="15"/>
  <c r="AB53" i="15" l="1"/>
  <c r="AC53" i="15" s="1"/>
  <c r="AB52" i="15"/>
  <c r="AC52" i="15" s="1"/>
  <c r="AB51" i="15"/>
  <c r="AC51" i="15" s="1"/>
  <c r="AG56" i="15"/>
  <c r="AI56" i="15" s="1"/>
  <c r="AJ56" i="15" s="1"/>
  <c r="AG51" i="15"/>
  <c r="AG52" i="15"/>
  <c r="AG53" i="15"/>
  <c r="G94" i="24"/>
  <c r="G3" i="22"/>
  <c r="V6" i="15"/>
  <c r="G23" i="24"/>
  <c r="AA3" i="24" s="1"/>
  <c r="V14" i="15"/>
  <c r="G79" i="24"/>
  <c r="AB55" i="15"/>
  <c r="AC55" i="15" s="1"/>
  <c r="AF54" i="15"/>
  <c r="AG55" i="15"/>
  <c r="AB54" i="15"/>
  <c r="AC54" i="15" s="1"/>
  <c r="AG48" i="15"/>
  <c r="AI48" i="15" s="1"/>
  <c r="AJ48" i="15" s="1"/>
  <c r="AG54" i="15"/>
  <c r="AB50" i="15"/>
  <c r="AC50" i="15" s="1"/>
  <c r="AB47" i="15"/>
  <c r="AC47" i="15" s="1"/>
  <c r="AB46" i="15"/>
  <c r="AC46" i="15" s="1"/>
  <c r="AB45" i="15"/>
  <c r="AC45" i="15" s="1"/>
  <c r="AG43" i="15"/>
  <c r="AI43" i="15" s="1"/>
  <c r="AJ43" i="15" s="1"/>
  <c r="AG46" i="15"/>
  <c r="AG47" i="15"/>
  <c r="AB49" i="15"/>
  <c r="AC49" i="15" s="1"/>
  <c r="AF43" i="15"/>
  <c r="AB42" i="15"/>
  <c r="AC42" i="15" s="1"/>
  <c r="AB44" i="15"/>
  <c r="AC44" i="15" s="1"/>
  <c r="Y36" i="15"/>
  <c r="Y37" i="15"/>
  <c r="Y38" i="15"/>
  <c r="Y34" i="15"/>
  <c r="Y35" i="15"/>
  <c r="AB26" i="15"/>
  <c r="AC26" i="15" s="1"/>
  <c r="AG50" i="15"/>
  <c r="AF14" i="15"/>
  <c r="AB19" i="15"/>
  <c r="AC19" i="15" s="1"/>
  <c r="AB18" i="15"/>
  <c r="AC18" i="15" s="1"/>
  <c r="AB17" i="15"/>
  <c r="AC17" i="15" s="1"/>
  <c r="AB13" i="15"/>
  <c r="AC13" i="15" s="1"/>
  <c r="AF13" i="15"/>
  <c r="U12" i="15"/>
  <c r="AB12" i="15"/>
  <c r="AC12" i="15" s="1"/>
  <c r="U10" i="15"/>
  <c r="AB11" i="15"/>
  <c r="AC11" i="15" s="1"/>
  <c r="U11" i="15"/>
  <c r="AB10" i="15"/>
  <c r="AC10" i="15" s="1"/>
  <c r="AF11" i="15"/>
  <c r="AF12" i="15"/>
  <c r="AC9" i="15"/>
  <c r="U9" i="15"/>
  <c r="U8" i="15"/>
  <c r="AB8" i="15"/>
  <c r="AC8" i="15" s="1"/>
  <c r="V7" i="15"/>
  <c r="AB7" i="15"/>
  <c r="AC7" i="15" s="1"/>
  <c r="U4" i="15"/>
  <c r="AB4" i="15"/>
  <c r="AC4" i="15" s="1"/>
  <c r="Y66" i="15"/>
  <c r="Z66" i="15"/>
  <c r="AC66" i="15" s="1"/>
  <c r="AF66" i="15"/>
  <c r="AG66" i="15"/>
  <c r="AJ66" i="15" s="1"/>
  <c r="Y63" i="15"/>
  <c r="Y64" i="15"/>
  <c r="Z63" i="15"/>
  <c r="AC63" i="15" s="1"/>
  <c r="Z64" i="15"/>
  <c r="AC64" i="15" s="1"/>
  <c r="AF63" i="15"/>
  <c r="AF64" i="15"/>
  <c r="AG63" i="15"/>
  <c r="AJ63" i="15" s="1"/>
  <c r="AG64" i="15"/>
  <c r="AJ64" i="15" s="1"/>
  <c r="Y60" i="15"/>
  <c r="Y61" i="15"/>
  <c r="Z60" i="15"/>
  <c r="Z61" i="15"/>
  <c r="AB61" i="15" s="1"/>
  <c r="AC61" i="15" s="1"/>
  <c r="AF60" i="15"/>
  <c r="AF61" i="15"/>
  <c r="AG60" i="15"/>
  <c r="AG61" i="15"/>
  <c r="AI61" i="15" s="1"/>
  <c r="AJ61" i="15" s="1"/>
  <c r="AG49" i="15"/>
  <c r="AG57" i="15"/>
  <c r="AJ57" i="15" s="1"/>
  <c r="AG45" i="15"/>
  <c r="V5" i="15"/>
  <c r="Z67" i="15"/>
  <c r="AC67" i="15" s="1"/>
  <c r="Z65" i="15"/>
  <c r="AC65" i="15" s="1"/>
  <c r="Z59" i="15"/>
  <c r="Z62" i="15"/>
  <c r="AC62" i="15" s="1"/>
  <c r="AC57" i="15"/>
  <c r="AF59" i="15"/>
  <c r="AF67" i="15"/>
  <c r="AF62" i="15"/>
  <c r="AF65" i="15"/>
  <c r="AG62" i="15"/>
  <c r="AJ62" i="15" s="1"/>
  <c r="AG59" i="15"/>
  <c r="AG65" i="15"/>
  <c r="AJ65" i="15" s="1"/>
  <c r="AG67" i="15"/>
  <c r="AJ67" i="15" s="1"/>
  <c r="Y65" i="15"/>
  <c r="Y62" i="15"/>
  <c r="Y67" i="15"/>
  <c r="Y59" i="15"/>
  <c r="AG42" i="15"/>
  <c r="AG44" i="15"/>
  <c r="Y33" i="15"/>
  <c r="AB30" i="15"/>
  <c r="AC30" i="15" s="1"/>
  <c r="W15" i="15"/>
  <c r="AF9" i="15"/>
  <c r="AF5" i="15"/>
  <c r="AF15" i="15"/>
  <c r="AF8" i="15"/>
  <c r="AH8" i="15" s="1"/>
  <c r="AF4" i="15"/>
  <c r="AH4" i="15" s="1"/>
  <c r="AF10" i="15"/>
  <c r="AH10" i="15" s="1"/>
  <c r="AF7" i="15"/>
  <c r="V15" i="15"/>
  <c r="X15" i="15"/>
  <c r="Y40" i="15"/>
  <c r="Y32" i="15"/>
  <c r="AL15" i="15"/>
  <c r="AG31" i="21"/>
  <c r="AG32" i="21"/>
  <c r="AJ32" i="21" s="1"/>
  <c r="AG33" i="21"/>
  <c r="Z3" i="21"/>
  <c r="AB3" i="21" s="1"/>
  <c r="AE3" i="21" s="1"/>
  <c r="Z4" i="21"/>
  <c r="AB4" i="21" s="1"/>
  <c r="AE4" i="21" s="1"/>
  <c r="Z5" i="21"/>
  <c r="AC5" i="21" s="1"/>
  <c r="Z6" i="21"/>
  <c r="AC6" i="21" s="1"/>
  <c r="Z7" i="21"/>
  <c r="AC7" i="21" s="1"/>
  <c r="Z8" i="21"/>
  <c r="Y4" i="21"/>
  <c r="R11" i="21"/>
  <c r="R12" i="21"/>
  <c r="R10" i="21"/>
  <c r="R13" i="21"/>
  <c r="T13" i="21" s="1"/>
  <c r="R14" i="21"/>
  <c r="T14" i="21" s="1"/>
  <c r="X3" i="21"/>
  <c r="V3" i="21"/>
  <c r="AJ3" i="21"/>
  <c r="AL3" i="21"/>
  <c r="V4" i="21"/>
  <c r="X4" i="21"/>
  <c r="AJ4" i="21"/>
  <c r="AL4" i="21"/>
  <c r="AK8" i="21"/>
  <c r="AI8" i="21"/>
  <c r="V8" i="21"/>
  <c r="X8" i="21"/>
  <c r="AD8" i="21"/>
  <c r="AB8" i="21"/>
  <c r="AL3" i="15"/>
  <c r="AI53" i="15" l="1"/>
  <c r="AJ53" i="15" s="1"/>
  <c r="AI52" i="15"/>
  <c r="AJ52" i="15" s="1"/>
  <c r="AI51" i="15"/>
  <c r="AJ51" i="15" s="1"/>
  <c r="Z5" i="22"/>
  <c r="H63" i="22"/>
  <c r="H14" i="22"/>
  <c r="V8" i="15"/>
  <c r="G44" i="24"/>
  <c r="V10" i="15"/>
  <c r="G67" i="24"/>
  <c r="V9" i="15"/>
  <c r="G49" i="24"/>
  <c r="AA7" i="24" s="1"/>
  <c r="V11" i="15"/>
  <c r="G70" i="24"/>
  <c r="V12" i="15"/>
  <c r="G73" i="24"/>
  <c r="V4" i="15"/>
  <c r="G13" i="24"/>
  <c r="AA5" i="24" s="1"/>
  <c r="AB60" i="15"/>
  <c r="AC60" i="15" s="1"/>
  <c r="AI60" i="15"/>
  <c r="AJ60" i="15" s="1"/>
  <c r="AI59" i="15"/>
  <c r="AJ59" i="15" s="1"/>
  <c r="AB59" i="15"/>
  <c r="AC59" i="15" s="1"/>
  <c r="AI55" i="15"/>
  <c r="AJ55" i="15" s="1"/>
  <c r="AI54" i="15"/>
  <c r="AJ54" i="15" s="1"/>
  <c r="AI50" i="15"/>
  <c r="AJ50" i="15" s="1"/>
  <c r="AI47" i="15"/>
  <c r="AJ47" i="15" s="1"/>
  <c r="AI46" i="15"/>
  <c r="AJ46" i="15" s="1"/>
  <c r="AI45" i="15"/>
  <c r="AJ45" i="15" s="1"/>
  <c r="AI49" i="15"/>
  <c r="AJ49" i="15" s="1"/>
  <c r="AI44" i="15"/>
  <c r="AJ44" i="15" s="1"/>
  <c r="AI42" i="15"/>
  <c r="AJ42" i="15" s="1"/>
  <c r="R27" i="15"/>
  <c r="R28" i="15"/>
  <c r="R29" i="15"/>
  <c r="AG28" i="15"/>
  <c r="AI28" i="15" s="1"/>
  <c r="AJ28" i="15" s="1"/>
  <c r="AG27" i="15"/>
  <c r="AI27" i="15" s="1"/>
  <c r="AJ27" i="15" s="1"/>
  <c r="AG29" i="15"/>
  <c r="AI29" i="15" s="1"/>
  <c r="AJ29" i="15" s="1"/>
  <c r="S27" i="15"/>
  <c r="U27" i="15" s="1"/>
  <c r="S29" i="15"/>
  <c r="U29" i="15" s="1"/>
  <c r="S28" i="15"/>
  <c r="U28" i="15" s="1"/>
  <c r="R22" i="15"/>
  <c r="R25" i="15"/>
  <c r="R24" i="15"/>
  <c r="R23" i="15"/>
  <c r="S25" i="15"/>
  <c r="U25" i="15" s="1"/>
  <c r="S24" i="15"/>
  <c r="U24" i="15" s="1"/>
  <c r="S23" i="15"/>
  <c r="U23" i="15" s="1"/>
  <c r="AG21" i="15"/>
  <c r="AI21" i="15" s="1"/>
  <c r="AJ21" i="15" s="1"/>
  <c r="AG23" i="15"/>
  <c r="AI23" i="15" s="1"/>
  <c r="AJ23" i="15" s="1"/>
  <c r="AG25" i="15"/>
  <c r="AI25" i="15" s="1"/>
  <c r="AJ25" i="15" s="1"/>
  <c r="AG24" i="15"/>
  <c r="AI24" i="15" s="1"/>
  <c r="AJ24" i="15" s="1"/>
  <c r="AG26" i="15"/>
  <c r="AG22" i="15"/>
  <c r="AI22" i="15" s="1"/>
  <c r="AJ22" i="15" s="1"/>
  <c r="S21" i="15"/>
  <c r="U21" i="15" s="1"/>
  <c r="S22" i="15"/>
  <c r="U22" i="15" s="1"/>
  <c r="R20" i="15"/>
  <c r="R21" i="15"/>
  <c r="S19" i="15"/>
  <c r="S20" i="15"/>
  <c r="U20" i="15" s="1"/>
  <c r="AG19" i="15"/>
  <c r="AG20" i="15"/>
  <c r="AI20" i="15" s="1"/>
  <c r="AJ20" i="15" s="1"/>
  <c r="AG13" i="15"/>
  <c r="AI13" i="15" s="1"/>
  <c r="AJ13" i="15" s="1"/>
  <c r="AG14" i="15"/>
  <c r="AI14" i="15" s="1"/>
  <c r="AJ14" i="15" s="1"/>
  <c r="AG11" i="15"/>
  <c r="AG12" i="15"/>
  <c r="AG6" i="15"/>
  <c r="AI6" i="15" s="1"/>
  <c r="AJ6" i="15" s="1"/>
  <c r="AF6" i="15"/>
  <c r="R19" i="15"/>
  <c r="T19" i="15" s="1"/>
  <c r="R30" i="15"/>
  <c r="T30" i="15" s="1"/>
  <c r="W30" i="15" s="1"/>
  <c r="R39" i="15" s="1"/>
  <c r="R18" i="15"/>
  <c r="T18" i="15" s="1"/>
  <c r="S17" i="15"/>
  <c r="AG17" i="15"/>
  <c r="R17" i="15"/>
  <c r="T17" i="15" s="1"/>
  <c r="AE30" i="15"/>
  <c r="Z39" i="15" s="1"/>
  <c r="AG18" i="15"/>
  <c r="AG30" i="15"/>
  <c r="S18" i="15"/>
  <c r="S30" i="15"/>
  <c r="AG7" i="15"/>
  <c r="AG9" i="15"/>
  <c r="AG5" i="15"/>
  <c r="AI5" i="15" s="1"/>
  <c r="AJ5" i="15" s="1"/>
  <c r="AG15" i="15"/>
  <c r="AJ15" i="15" s="1"/>
  <c r="AG8" i="15"/>
  <c r="AG4" i="15"/>
  <c r="AG10" i="15"/>
  <c r="AK15" i="15"/>
  <c r="AC3" i="21"/>
  <c r="AF11" i="21"/>
  <c r="AF12" i="21"/>
  <c r="AF13" i="21"/>
  <c r="AH13" i="21" s="1"/>
  <c r="AF14" i="21"/>
  <c r="AH14" i="21" s="1"/>
  <c r="AF10" i="21"/>
  <c r="Y11" i="21"/>
  <c r="Y12" i="21"/>
  <c r="Y13" i="21"/>
  <c r="AA13" i="21" s="1"/>
  <c r="Y14" i="21"/>
  <c r="AA14" i="21" s="1"/>
  <c r="Y10" i="21"/>
  <c r="S11" i="21"/>
  <c r="V11" i="21" s="1"/>
  <c r="S12" i="21"/>
  <c r="V12" i="21" s="1"/>
  <c r="S13" i="21"/>
  <c r="U13" i="21" s="1"/>
  <c r="S14" i="21"/>
  <c r="S10" i="21"/>
  <c r="V10" i="21" s="1"/>
  <c r="AC4" i="21"/>
  <c r="AC8" i="21"/>
  <c r="AE8" i="21"/>
  <c r="U14" i="21"/>
  <c r="W14" i="21"/>
  <c r="W13" i="21"/>
  <c r="AL8" i="21"/>
  <c r="AJ8" i="21"/>
  <c r="V22" i="15" l="1"/>
  <c r="G51" i="22"/>
  <c r="V23" i="15"/>
  <c r="G86" i="22"/>
  <c r="V29" i="15"/>
  <c r="G98" i="22"/>
  <c r="V28" i="15"/>
  <c r="G95" i="22"/>
  <c r="V21" i="15"/>
  <c r="G48" i="22"/>
  <c r="V24" i="15"/>
  <c r="G89" i="22"/>
  <c r="V27" i="15"/>
  <c r="G74" i="22"/>
  <c r="V25" i="15"/>
  <c r="G92" i="22"/>
  <c r="V20" i="15"/>
  <c r="G9" i="22"/>
  <c r="Z6" i="22" s="1"/>
  <c r="AB39" i="15"/>
  <c r="AC39" i="15" s="1"/>
  <c r="Z36" i="15"/>
  <c r="AB36" i="15" s="1"/>
  <c r="AC36" i="15" s="1"/>
  <c r="Z38" i="15"/>
  <c r="AB38" i="15" s="1"/>
  <c r="AC38" i="15" s="1"/>
  <c r="Z37" i="15"/>
  <c r="AB37" i="15" s="1"/>
  <c r="AC37" i="15" s="1"/>
  <c r="R35" i="15"/>
  <c r="R38" i="15"/>
  <c r="R36" i="15"/>
  <c r="R37" i="15"/>
  <c r="Z34" i="15"/>
  <c r="AB34" i="15" s="1"/>
  <c r="AC34" i="15" s="1"/>
  <c r="Z35" i="15"/>
  <c r="AF28" i="15"/>
  <c r="AF29" i="15"/>
  <c r="AF27" i="15"/>
  <c r="AI26" i="15"/>
  <c r="AJ26" i="15" s="1"/>
  <c r="AF26" i="15"/>
  <c r="AF23" i="15"/>
  <c r="AF24" i="15"/>
  <c r="AF25" i="15"/>
  <c r="AF21" i="15"/>
  <c r="AF22" i="15"/>
  <c r="AF19" i="15"/>
  <c r="AH19" i="15" s="1"/>
  <c r="AI19" i="15" s="1"/>
  <c r="AJ19" i="15" s="1"/>
  <c r="AF20" i="15"/>
  <c r="U17" i="15"/>
  <c r="U18" i="15"/>
  <c r="AI12" i="15"/>
  <c r="AJ12" i="15" s="1"/>
  <c r="AI11" i="15"/>
  <c r="AJ11" i="15" s="1"/>
  <c r="AI10" i="15"/>
  <c r="AJ10" i="15" s="1"/>
  <c r="AI9" i="15"/>
  <c r="AJ9" i="15" s="1"/>
  <c r="AI8" i="15"/>
  <c r="AJ8" i="15" s="1"/>
  <c r="AI7" i="15"/>
  <c r="AJ7" i="15" s="1"/>
  <c r="AI4" i="15"/>
  <c r="AJ4" i="15" s="1"/>
  <c r="R33" i="15"/>
  <c r="Z40" i="15"/>
  <c r="AC40" i="15" s="1"/>
  <c r="Z33" i="15"/>
  <c r="U19" i="15"/>
  <c r="U30" i="15"/>
  <c r="G8" i="23" s="1"/>
  <c r="AF17" i="15"/>
  <c r="AH17" i="15" s="1"/>
  <c r="AI17" i="15" s="1"/>
  <c r="AJ17" i="15" s="1"/>
  <c r="Z32" i="15"/>
  <c r="AF18" i="15"/>
  <c r="AH18" i="15" s="1"/>
  <c r="AI18" i="15" s="1"/>
  <c r="AJ18" i="15" s="1"/>
  <c r="AF30" i="15"/>
  <c r="AH30" i="15" s="1"/>
  <c r="AI30" i="15" s="1"/>
  <c r="AJ30" i="15" s="1"/>
  <c r="R40" i="15"/>
  <c r="T40" i="15" s="1"/>
  <c r="R32" i="15"/>
  <c r="AG11" i="21"/>
  <c r="AJ11" i="21" s="1"/>
  <c r="AG12" i="21"/>
  <c r="AJ12" i="21" s="1"/>
  <c r="AG14" i="21"/>
  <c r="AG13" i="21"/>
  <c r="AG10" i="21"/>
  <c r="AJ10" i="21" s="1"/>
  <c r="Z11" i="21"/>
  <c r="AC11" i="21" s="1"/>
  <c r="Z12" i="21"/>
  <c r="AC12" i="21" s="1"/>
  <c r="Z13" i="21"/>
  <c r="AB13" i="21" s="1"/>
  <c r="Z14" i="21"/>
  <c r="Z10" i="21"/>
  <c r="AC10" i="21" s="1"/>
  <c r="R16" i="21"/>
  <c r="R17" i="21"/>
  <c r="T17" i="21" s="1"/>
  <c r="R18" i="21"/>
  <c r="T18" i="21" s="1"/>
  <c r="AB14" i="21"/>
  <c r="AD14" i="21"/>
  <c r="V13" i="21"/>
  <c r="X13" i="21"/>
  <c r="AK13" i="21"/>
  <c r="AI14" i="21"/>
  <c r="AK14" i="21"/>
  <c r="V14" i="21"/>
  <c r="X14" i="21"/>
  <c r="AI13" i="21"/>
  <c r="AD13" i="21"/>
  <c r="V30" i="15" l="1"/>
  <c r="G110" i="22"/>
  <c r="V18" i="15"/>
  <c r="G24" i="22"/>
  <c r="Z8" i="22" s="1"/>
  <c r="V17" i="15"/>
  <c r="G14" i="22"/>
  <c r="Z7" i="22" s="1"/>
  <c r="V19" i="15"/>
  <c r="G4" i="22"/>
  <c r="AB35" i="15"/>
  <c r="AC35" i="15" s="1"/>
  <c r="AB33" i="15"/>
  <c r="AC33" i="15" s="1"/>
  <c r="AB32" i="15"/>
  <c r="AC32" i="15" s="1"/>
  <c r="X30" i="15"/>
  <c r="S39" i="15" s="1"/>
  <c r="W40" i="15"/>
  <c r="U40" i="15"/>
  <c r="G13" i="26" s="1"/>
  <c r="AK30" i="15"/>
  <c r="AF39" i="15" s="1"/>
  <c r="AF16" i="21"/>
  <c r="AF17" i="21"/>
  <c r="AH17" i="21" s="1"/>
  <c r="AF18" i="21"/>
  <c r="AH18" i="21" s="1"/>
  <c r="Y16" i="21"/>
  <c r="Y17" i="21"/>
  <c r="AA17" i="21" s="1"/>
  <c r="Y18" i="21"/>
  <c r="AA18" i="21" s="1"/>
  <c r="S18" i="21"/>
  <c r="S16" i="21"/>
  <c r="V16" i="21" s="1"/>
  <c r="S17" i="21"/>
  <c r="AJ13" i="21"/>
  <c r="AL13" i="21"/>
  <c r="W18" i="21"/>
  <c r="U18" i="21"/>
  <c r="AC13" i="21"/>
  <c r="AE13" i="21"/>
  <c r="W17" i="21"/>
  <c r="U17" i="21"/>
  <c r="AJ14" i="21"/>
  <c r="AL14" i="21"/>
  <c r="AC14" i="21"/>
  <c r="AE14" i="21"/>
  <c r="R56" i="15" l="1"/>
  <c r="R52" i="15"/>
  <c r="R53" i="15"/>
  <c r="R51" i="15"/>
  <c r="Z4" i="23"/>
  <c r="H36" i="23"/>
  <c r="H13" i="23"/>
  <c r="G84" i="23"/>
  <c r="G75" i="26"/>
  <c r="R55" i="15"/>
  <c r="R48" i="15"/>
  <c r="R46" i="15"/>
  <c r="R47" i="15"/>
  <c r="R34" i="15"/>
  <c r="U39" i="15"/>
  <c r="AF37" i="15"/>
  <c r="AF36" i="15"/>
  <c r="AF38" i="15"/>
  <c r="S35" i="15"/>
  <c r="U35" i="15" s="1"/>
  <c r="S38" i="15"/>
  <c r="U38" i="15" s="1"/>
  <c r="S36" i="15"/>
  <c r="U36" i="15" s="1"/>
  <c r="S37" i="15"/>
  <c r="U37" i="15" s="1"/>
  <c r="AF34" i="15"/>
  <c r="AF35" i="15"/>
  <c r="R50" i="15"/>
  <c r="R26" i="15"/>
  <c r="R49" i="15"/>
  <c r="R57" i="15"/>
  <c r="T57" i="15" s="1"/>
  <c r="U57" i="15" s="1"/>
  <c r="X57" i="15" s="1"/>
  <c r="S13" i="15" s="1"/>
  <c r="R45" i="15"/>
  <c r="R42" i="15"/>
  <c r="T42" i="15" s="1"/>
  <c r="R44" i="15"/>
  <c r="AF33" i="15"/>
  <c r="S32" i="15"/>
  <c r="S33" i="15"/>
  <c r="S40" i="15"/>
  <c r="V40" i="15" s="1"/>
  <c r="AF40" i="15"/>
  <c r="AF32" i="15"/>
  <c r="X40" i="15"/>
  <c r="AL30" i="15"/>
  <c r="AG39" i="15" s="1"/>
  <c r="AG18" i="21"/>
  <c r="AG16" i="21"/>
  <c r="AJ16" i="21" s="1"/>
  <c r="AG17" i="21"/>
  <c r="Z16" i="21"/>
  <c r="AC16" i="21" s="1"/>
  <c r="Z17" i="21"/>
  <c r="Z18" i="21"/>
  <c r="R27" i="21"/>
  <c r="T27" i="21" s="1"/>
  <c r="U27" i="21" s="1"/>
  <c r="R28" i="21"/>
  <c r="T28" i="21" s="1"/>
  <c r="R20" i="21"/>
  <c r="T20" i="21" s="1"/>
  <c r="U20" i="21" s="1"/>
  <c r="R21" i="21"/>
  <c r="R26" i="21"/>
  <c r="R22" i="21"/>
  <c r="T22" i="21" s="1"/>
  <c r="U22" i="21" s="1"/>
  <c r="R23" i="21"/>
  <c r="T23" i="21" s="1"/>
  <c r="U23" i="21" s="1"/>
  <c r="R24" i="21"/>
  <c r="T24" i="21" s="1"/>
  <c r="U24" i="21" s="1"/>
  <c r="R25" i="21"/>
  <c r="V17" i="21"/>
  <c r="X17" i="21"/>
  <c r="X18" i="21"/>
  <c r="V18" i="21"/>
  <c r="AI17" i="21"/>
  <c r="AK17" i="21"/>
  <c r="AD17" i="21"/>
  <c r="AB17" i="21"/>
  <c r="AI18" i="21"/>
  <c r="AK18" i="21"/>
  <c r="AB18" i="21"/>
  <c r="AD18" i="21"/>
  <c r="S56" i="15" l="1"/>
  <c r="U56" i="15" s="1"/>
  <c r="S52" i="15"/>
  <c r="S53" i="15"/>
  <c r="S51" i="15"/>
  <c r="G65" i="26"/>
  <c r="Y11" i="26" s="1"/>
  <c r="G70" i="26"/>
  <c r="Y4" i="26"/>
  <c r="H31" i="26"/>
  <c r="H39" i="26"/>
  <c r="H94" i="26"/>
  <c r="H50" i="26"/>
  <c r="V38" i="15"/>
  <c r="G64" i="23"/>
  <c r="V39" i="15"/>
  <c r="G72" i="23"/>
  <c r="V37" i="15"/>
  <c r="G58" i="23"/>
  <c r="V35" i="15"/>
  <c r="G36" i="23"/>
  <c r="Z7" i="23" s="1"/>
  <c r="V36" i="15"/>
  <c r="G55" i="23"/>
  <c r="R54" i="15"/>
  <c r="S55" i="15"/>
  <c r="S48" i="15"/>
  <c r="U48" i="15" s="1"/>
  <c r="S54" i="15"/>
  <c r="R43" i="15"/>
  <c r="S47" i="15"/>
  <c r="S46" i="15"/>
  <c r="S34" i="15"/>
  <c r="U34" i="15" s="1"/>
  <c r="S43" i="15"/>
  <c r="AI39" i="15"/>
  <c r="AJ39" i="15" s="1"/>
  <c r="AG36" i="15"/>
  <c r="AI36" i="15" s="1"/>
  <c r="AJ36" i="15" s="1"/>
  <c r="AG37" i="15"/>
  <c r="AI37" i="15" s="1"/>
  <c r="AJ37" i="15" s="1"/>
  <c r="AG38" i="15"/>
  <c r="AI38" i="15" s="1"/>
  <c r="AJ38" i="15" s="1"/>
  <c r="AG34" i="15"/>
  <c r="AI34" i="15" s="1"/>
  <c r="AJ34" i="15" s="1"/>
  <c r="AG35" i="15"/>
  <c r="U33" i="15"/>
  <c r="U32" i="15"/>
  <c r="S50" i="15"/>
  <c r="S26" i="15"/>
  <c r="U13" i="15"/>
  <c r="S66" i="15"/>
  <c r="V66" i="15" s="1"/>
  <c r="S63" i="15"/>
  <c r="V63" i="15" s="1"/>
  <c r="S64" i="15"/>
  <c r="V64" i="15" s="1"/>
  <c r="S60" i="15"/>
  <c r="S61" i="15"/>
  <c r="U61" i="15" s="1"/>
  <c r="V61" i="15" s="1"/>
  <c r="S49" i="15"/>
  <c r="W57" i="15"/>
  <c r="S57" i="15"/>
  <c r="V57" i="15" s="1"/>
  <c r="S45" i="15"/>
  <c r="S65" i="15"/>
  <c r="V65" i="15" s="1"/>
  <c r="S59" i="15"/>
  <c r="S67" i="15"/>
  <c r="S62" i="15"/>
  <c r="V62" i="15" s="1"/>
  <c r="S42" i="15"/>
  <c r="S44" i="15"/>
  <c r="AG33" i="15"/>
  <c r="AG40" i="15"/>
  <c r="AJ40" i="15" s="1"/>
  <c r="AG32" i="15"/>
  <c r="AF27" i="21"/>
  <c r="AH27" i="21" s="1"/>
  <c r="AI27" i="21" s="1"/>
  <c r="AF24" i="21"/>
  <c r="AH24" i="21" s="1"/>
  <c r="AI24" i="21" s="1"/>
  <c r="AF20" i="21"/>
  <c r="AH20" i="21" s="1"/>
  <c r="AI20" i="21" s="1"/>
  <c r="AF28" i="21"/>
  <c r="AH28" i="21" s="1"/>
  <c r="AF21" i="21"/>
  <c r="AF22" i="21"/>
  <c r="AH22" i="21" s="1"/>
  <c r="AI22" i="21" s="1"/>
  <c r="AF23" i="21"/>
  <c r="AH23" i="21" s="1"/>
  <c r="AI23" i="21" s="1"/>
  <c r="AF25" i="21"/>
  <c r="AH25" i="21" s="1"/>
  <c r="AI25" i="21" s="1"/>
  <c r="AF26" i="21"/>
  <c r="Y27" i="21"/>
  <c r="AA27" i="21" s="1"/>
  <c r="AB27" i="21" s="1"/>
  <c r="Y20" i="21"/>
  <c r="AA20" i="21" s="1"/>
  <c r="AB20" i="21" s="1"/>
  <c r="Y28" i="21"/>
  <c r="AA28" i="21" s="1"/>
  <c r="Y21" i="21"/>
  <c r="Y24" i="21"/>
  <c r="AA24" i="21" s="1"/>
  <c r="AB24" i="21" s="1"/>
  <c r="Y22" i="21"/>
  <c r="AA22" i="21" s="1"/>
  <c r="AB22" i="21" s="1"/>
  <c r="Y23" i="21"/>
  <c r="AA23" i="21" s="1"/>
  <c r="AB23" i="21" s="1"/>
  <c r="Y25" i="21"/>
  <c r="AA25" i="21" s="1"/>
  <c r="AB25" i="21" s="1"/>
  <c r="Y26" i="21"/>
  <c r="S27" i="21"/>
  <c r="V27" i="21" s="1"/>
  <c r="S20" i="21"/>
  <c r="V20" i="21" s="1"/>
  <c r="S28" i="21"/>
  <c r="S21" i="21"/>
  <c r="V21" i="21" s="1"/>
  <c r="S22" i="21"/>
  <c r="V22" i="21" s="1"/>
  <c r="S23" i="21"/>
  <c r="V23" i="21" s="1"/>
  <c r="S24" i="21"/>
  <c r="V24" i="21" s="1"/>
  <c r="S26" i="21"/>
  <c r="V26" i="21" s="1"/>
  <c r="S25" i="21"/>
  <c r="T25" i="21"/>
  <c r="U25" i="21" s="1"/>
  <c r="AE17" i="21"/>
  <c r="AC17" i="21"/>
  <c r="U28" i="21"/>
  <c r="W28" i="21"/>
  <c r="AL17" i="21"/>
  <c r="AJ17" i="21"/>
  <c r="AJ18" i="21"/>
  <c r="AL18" i="21"/>
  <c r="AE18" i="21"/>
  <c r="AC18" i="21"/>
  <c r="V48" i="15" l="1"/>
  <c r="G81" i="26"/>
  <c r="Y10" i="26" s="1"/>
  <c r="V56" i="15"/>
  <c r="G130" i="26"/>
  <c r="U53" i="15"/>
  <c r="V53" i="15" s="1"/>
  <c r="U52" i="15"/>
  <c r="V52" i="15" s="1"/>
  <c r="U51" i="15"/>
  <c r="V51" i="15" s="1"/>
  <c r="Z8" i="23"/>
  <c r="V34" i="15"/>
  <c r="G37" i="23"/>
  <c r="V33" i="15"/>
  <c r="G3" i="23"/>
  <c r="Z5" i="23" s="1"/>
  <c r="V32" i="15"/>
  <c r="G13" i="23"/>
  <c r="V13" i="15"/>
  <c r="G76" i="24"/>
  <c r="AA8" i="24" s="1"/>
  <c r="U60" i="15"/>
  <c r="V60" i="15" s="1"/>
  <c r="U59" i="15"/>
  <c r="V59" i="15" s="1"/>
  <c r="U55" i="15"/>
  <c r="U54" i="15"/>
  <c r="U50" i="15"/>
  <c r="U47" i="15"/>
  <c r="U46" i="15"/>
  <c r="U45" i="15"/>
  <c r="U49" i="15"/>
  <c r="U43" i="15"/>
  <c r="V43" i="15" s="1"/>
  <c r="U44" i="15"/>
  <c r="U42" i="15"/>
  <c r="AI35" i="15"/>
  <c r="AJ35" i="15" s="1"/>
  <c r="AI33" i="15"/>
  <c r="AJ33" i="15" s="1"/>
  <c r="AI32" i="15"/>
  <c r="AJ32" i="15" s="1"/>
  <c r="U26" i="15"/>
  <c r="R66" i="15"/>
  <c r="R13" i="15"/>
  <c r="R64" i="15"/>
  <c r="R61" i="15"/>
  <c r="R63" i="15"/>
  <c r="R65" i="15"/>
  <c r="R60" i="15"/>
  <c r="R67" i="15"/>
  <c r="T67" i="15" s="1"/>
  <c r="U67" i="15" s="1"/>
  <c r="V67" i="15" s="1"/>
  <c r="R59" i="15"/>
  <c r="R62" i="15"/>
  <c r="AG27" i="21"/>
  <c r="AJ27" i="21" s="1"/>
  <c r="AG20" i="21"/>
  <c r="AJ20" i="21" s="1"/>
  <c r="AG28" i="21"/>
  <c r="AG21" i="21"/>
  <c r="AJ21" i="21" s="1"/>
  <c r="AG22" i="21"/>
  <c r="AJ22" i="21" s="1"/>
  <c r="AG23" i="21"/>
  <c r="AJ23" i="21" s="1"/>
  <c r="AG26" i="21"/>
  <c r="AJ26" i="21" s="1"/>
  <c r="AG24" i="21"/>
  <c r="AJ24" i="21" s="1"/>
  <c r="AG25" i="21"/>
  <c r="AJ25" i="21" s="1"/>
  <c r="Z27" i="21"/>
  <c r="AC27" i="21" s="1"/>
  <c r="Z20" i="21"/>
  <c r="AC20" i="21" s="1"/>
  <c r="Z28" i="21"/>
  <c r="Z23" i="21"/>
  <c r="AC23" i="21" s="1"/>
  <c r="Z21" i="21"/>
  <c r="AC21" i="21" s="1"/>
  <c r="Z24" i="21"/>
  <c r="AC24" i="21" s="1"/>
  <c r="Z22" i="21"/>
  <c r="AC22" i="21" s="1"/>
  <c r="Z25" i="21"/>
  <c r="AC25" i="21" s="1"/>
  <c r="Z26" i="21"/>
  <c r="AC26" i="21" s="1"/>
  <c r="R35" i="21"/>
  <c r="T35" i="21" s="1"/>
  <c r="R43" i="21"/>
  <c r="T43" i="21" s="1"/>
  <c r="R36" i="21"/>
  <c r="T36" i="21" s="1"/>
  <c r="R37" i="21"/>
  <c r="T37" i="21" s="1"/>
  <c r="R38" i="21"/>
  <c r="R41" i="21"/>
  <c r="T41" i="21" s="1"/>
  <c r="R39" i="21"/>
  <c r="R40" i="21"/>
  <c r="T40" i="21" s="1"/>
  <c r="R42" i="21"/>
  <c r="T42" i="21" s="1"/>
  <c r="V25" i="21"/>
  <c r="AB28" i="21"/>
  <c r="AD28" i="21"/>
  <c r="V28" i="21"/>
  <c r="X28" i="21"/>
  <c r="AI28" i="21"/>
  <c r="AK28" i="21"/>
  <c r="M79" i="14"/>
  <c r="M80" i="14"/>
  <c r="M81" i="14"/>
  <c r="M82" i="14"/>
  <c r="M83" i="14"/>
  <c r="M84" i="14"/>
  <c r="M85" i="14"/>
  <c r="M86" i="14"/>
  <c r="M87" i="14"/>
  <c r="P36" i="14"/>
  <c r="P37" i="14"/>
  <c r="P38" i="14"/>
  <c r="P39" i="14"/>
  <c r="P40" i="14"/>
  <c r="P41" i="14"/>
  <c r="P42" i="14"/>
  <c r="P43" i="14"/>
  <c r="P44" i="14"/>
  <c r="P45" i="14"/>
  <c r="P46" i="14"/>
  <c r="P47" i="14"/>
  <c r="P48" i="14"/>
  <c r="P49" i="14"/>
  <c r="P50" i="14"/>
  <c r="P51" i="14"/>
  <c r="P52" i="14"/>
  <c r="P53" i="14"/>
  <c r="P54" i="14"/>
  <c r="P55" i="14"/>
  <c r="P56" i="14"/>
  <c r="P57" i="14"/>
  <c r="P58" i="14"/>
  <c r="P59" i="14"/>
  <c r="P60" i="14"/>
  <c r="P61" i="14"/>
  <c r="P62" i="14"/>
  <c r="P63" i="14"/>
  <c r="P64" i="14"/>
  <c r="P65" i="14"/>
  <c r="P66" i="14"/>
  <c r="P67" i="14"/>
  <c r="P68" i="14"/>
  <c r="P69" i="14"/>
  <c r="P70" i="14"/>
  <c r="P71" i="14"/>
  <c r="P72" i="14"/>
  <c r="P73" i="14"/>
  <c r="P74" i="14"/>
  <c r="P75" i="14"/>
  <c r="P76" i="14"/>
  <c r="P77" i="14"/>
  <c r="P78" i="14"/>
  <c r="P79" i="14"/>
  <c r="P80" i="14"/>
  <c r="P81" i="14"/>
  <c r="L82" i="14"/>
  <c r="P82" i="14" s="1"/>
  <c r="L83" i="14"/>
  <c r="P83" i="14" s="1"/>
  <c r="L84" i="14"/>
  <c r="P84" i="14" s="1"/>
  <c r="L85" i="14"/>
  <c r="P85" i="14" s="1"/>
  <c r="L86" i="14"/>
  <c r="L87" i="14"/>
  <c r="M88" i="14"/>
  <c r="M89" i="14"/>
  <c r="M90" i="14"/>
  <c r="F4" i="15"/>
  <c r="F5" i="15"/>
  <c r="F8" i="15"/>
  <c r="F10" i="15"/>
  <c r="F15" i="15"/>
  <c r="F18" i="15"/>
  <c r="F30" i="15"/>
  <c r="F32" i="15"/>
  <c r="F40" i="15"/>
  <c r="F3" i="15"/>
  <c r="Z6" i="23" l="1"/>
  <c r="V54" i="15"/>
  <c r="G114" i="26"/>
  <c r="Y13" i="26" s="1"/>
  <c r="V47" i="15"/>
  <c r="G82" i="26"/>
  <c r="V50" i="15"/>
  <c r="G99" i="26"/>
  <c r="Y12" i="26" s="1"/>
  <c r="V55" i="15"/>
  <c r="G129" i="26"/>
  <c r="Y14" i="26" s="1"/>
  <c r="V42" i="15"/>
  <c r="G22" i="26"/>
  <c r="Y7" i="26" s="1"/>
  <c r="V46" i="15"/>
  <c r="G60" i="26"/>
  <c r="V44" i="15"/>
  <c r="G8" i="26"/>
  <c r="Y5" i="26" s="1"/>
  <c r="V49" i="15"/>
  <c r="G39" i="26"/>
  <c r="Y8" i="26" s="1"/>
  <c r="V45" i="15"/>
  <c r="G55" i="26"/>
  <c r="V26" i="15"/>
  <c r="G63" i="22"/>
  <c r="Z9" i="22" s="1"/>
  <c r="AF35" i="21"/>
  <c r="AF43" i="21"/>
  <c r="AF36" i="21"/>
  <c r="AF40" i="21"/>
  <c r="AF37" i="21"/>
  <c r="AF38" i="21"/>
  <c r="AF39" i="21"/>
  <c r="AF41" i="21"/>
  <c r="AF42" i="21"/>
  <c r="Y35" i="21"/>
  <c r="Y43" i="21"/>
  <c r="Y36" i="21"/>
  <c r="Y37" i="21"/>
  <c r="Y38" i="21"/>
  <c r="Y40" i="21"/>
  <c r="Y39" i="21"/>
  <c r="Y41" i="21"/>
  <c r="Y42" i="21"/>
  <c r="S35" i="21"/>
  <c r="S43" i="21"/>
  <c r="S36" i="21"/>
  <c r="S37" i="21"/>
  <c r="S42" i="21"/>
  <c r="S38" i="21"/>
  <c r="V38" i="21" s="1"/>
  <c r="S39" i="21"/>
  <c r="V39" i="21" s="1"/>
  <c r="S40" i="21"/>
  <c r="S41" i="21"/>
  <c r="AJ28" i="21"/>
  <c r="AL28" i="21"/>
  <c r="AC28" i="21"/>
  <c r="AE28" i="21"/>
  <c r="Y9" i="26" l="1"/>
  <c r="B37" i="14"/>
  <c r="B49" i="14"/>
  <c r="B51" i="14"/>
  <c r="C90" i="14"/>
  <c r="C44" i="14"/>
  <c r="B45" i="14"/>
  <c r="B70" i="14"/>
  <c r="C35" i="14"/>
  <c r="B50" i="14"/>
  <c r="B58" i="14"/>
  <c r="C89" i="14"/>
  <c r="C58" i="14"/>
  <c r="C78" i="14"/>
  <c r="B69" i="14"/>
  <c r="C52" i="14"/>
  <c r="C48" i="14"/>
  <c r="B44" i="14"/>
  <c r="C59" i="14"/>
  <c r="C32" i="14"/>
  <c r="C61" i="14"/>
  <c r="C67" i="14"/>
  <c r="B33" i="14"/>
  <c r="C80" i="14"/>
  <c r="B64" i="14"/>
  <c r="B52" i="14"/>
  <c r="C68" i="14"/>
  <c r="C81" i="14"/>
  <c r="B83" i="14"/>
  <c r="B53" i="14"/>
  <c r="B65" i="14"/>
  <c r="B34" i="14"/>
  <c r="B38" i="14"/>
  <c r="C54" i="14"/>
  <c r="B88" i="14"/>
  <c r="B71" i="14"/>
  <c r="B82" i="14"/>
  <c r="B39" i="14"/>
  <c r="B32" i="14"/>
  <c r="C43" i="14"/>
  <c r="B46" i="14"/>
  <c r="B35" i="14"/>
  <c r="C74" i="14"/>
  <c r="B77" i="14"/>
  <c r="B81" i="14"/>
  <c r="B54" i="14"/>
  <c r="C56" i="14"/>
  <c r="B60" i="14"/>
  <c r="C75" i="14"/>
  <c r="B79" i="14"/>
  <c r="B59" i="14"/>
  <c r="C63" i="14"/>
  <c r="C49" i="14"/>
  <c r="B55" i="14"/>
  <c r="C38" i="14"/>
  <c r="B72" i="14"/>
  <c r="B67" i="14"/>
  <c r="C45" i="14"/>
  <c r="B87" i="14"/>
  <c r="B76" i="14"/>
  <c r="C64" i="14"/>
  <c r="C55" i="14"/>
  <c r="C60" i="14"/>
  <c r="C70" i="14"/>
  <c r="B40" i="14"/>
  <c r="C47" i="14"/>
  <c r="C69" i="14"/>
  <c r="C34" i="14"/>
  <c r="C87" i="14"/>
  <c r="B78" i="14"/>
  <c r="C65" i="14"/>
  <c r="B43" i="14"/>
  <c r="C82" i="14"/>
  <c r="C42" i="14"/>
  <c r="B66" i="14"/>
  <c r="C86" i="14"/>
  <c r="B68" i="14"/>
  <c r="B57" i="14"/>
  <c r="C83" i="14"/>
  <c r="B75" i="14"/>
  <c r="C50" i="14"/>
  <c r="B80" i="14"/>
  <c r="C41" i="14"/>
  <c r="C72" i="14"/>
  <c r="B42" i="14"/>
  <c r="B47" i="14"/>
  <c r="C39" i="14"/>
  <c r="B41" i="14"/>
  <c r="C88" i="14"/>
  <c r="C40" i="14"/>
  <c r="C53" i="14"/>
  <c r="C79" i="14"/>
  <c r="C76" i="14"/>
  <c r="C33" i="14"/>
  <c r="B56" i="14"/>
  <c r="C71" i="14"/>
  <c r="B48" i="14"/>
  <c r="C85" i="14"/>
  <c r="B63" i="14"/>
  <c r="C36" i="14"/>
  <c r="C46" i="14"/>
  <c r="B85" i="14"/>
  <c r="B84" i="14"/>
  <c r="C37" i="14"/>
  <c r="C57" i="14"/>
  <c r="B36" i="14"/>
  <c r="C51" i="14"/>
  <c r="C31" i="14"/>
  <c r="B74" i="14"/>
  <c r="B31" i="14"/>
  <c r="B89" i="14"/>
  <c r="B62" i="14"/>
  <c r="C66" i="14"/>
  <c r="B73" i="14"/>
  <c r="A2" i="14" a="1"/>
  <c r="C77" i="14"/>
  <c r="C73" i="14"/>
  <c r="B61" i="14"/>
  <c r="B86" i="14"/>
  <c r="C62" i="14"/>
  <c r="C84" i="14"/>
  <c r="AG35" i="21"/>
  <c r="AG43" i="21"/>
  <c r="AG38" i="21"/>
  <c r="AJ38" i="21" s="1"/>
  <c r="AG39" i="21"/>
  <c r="AJ39" i="21" s="1"/>
  <c r="AG37" i="21"/>
  <c r="AG40" i="21"/>
  <c r="AG41" i="21"/>
  <c r="AG42" i="21"/>
  <c r="AG36" i="21"/>
  <c r="Z35" i="21"/>
  <c r="Z43" i="21"/>
  <c r="Z36" i="21"/>
  <c r="Z37" i="21"/>
  <c r="Z39" i="21"/>
  <c r="AC39" i="21" s="1"/>
  <c r="Z38" i="21"/>
  <c r="AC38" i="21" s="1"/>
  <c r="Z41" i="21"/>
  <c r="Z42" i="21"/>
  <c r="Z40" i="21"/>
  <c r="G29" i="14" l="1"/>
  <c r="G30" i="14"/>
  <c r="B30" i="14"/>
  <c r="C30" i="14"/>
  <c r="C29" i="14"/>
  <c r="B29" i="14"/>
  <c r="B27" i="14"/>
  <c r="G28" i="14"/>
  <c r="C28" i="14"/>
  <c r="B28" i="14"/>
  <c r="C27" i="14"/>
  <c r="C26" i="14"/>
  <c r="G27" i="14"/>
  <c r="B26" i="14"/>
  <c r="G25" i="14"/>
  <c r="G26" i="14"/>
  <c r="C25" i="14"/>
  <c r="B25" i="14"/>
  <c r="G23" i="14"/>
  <c r="G24" i="14"/>
  <c r="C24" i="14"/>
  <c r="B24" i="14"/>
  <c r="B23" i="14"/>
  <c r="B21" i="14"/>
  <c r="G22" i="14"/>
  <c r="B22" i="14"/>
  <c r="C22" i="14"/>
  <c r="C21" i="14"/>
  <c r="C20" i="14"/>
  <c r="G21" i="14"/>
  <c r="B20" i="14"/>
  <c r="G18" i="14"/>
  <c r="G19" i="14"/>
  <c r="C19" i="14"/>
  <c r="B19" i="14"/>
  <c r="B18" i="14"/>
  <c r="C18" i="14"/>
  <c r="G16" i="14"/>
  <c r="G17" i="14"/>
  <c r="B17" i="14"/>
  <c r="C17" i="14"/>
  <c r="B16" i="14"/>
  <c r="C16" i="14"/>
  <c r="B15" i="14"/>
  <c r="C15" i="14"/>
  <c r="B4" i="14"/>
  <c r="G10" i="14"/>
  <c r="C8" i="14"/>
  <c r="G8" i="14"/>
  <c r="C4" i="14"/>
  <c r="B3" i="14"/>
  <c r="B7" i="14"/>
  <c r="G12" i="14"/>
  <c r="C14" i="14"/>
  <c r="B6" i="14"/>
  <c r="C3" i="14"/>
  <c r="C10" i="14"/>
  <c r="C11" i="14"/>
  <c r="B12" i="14"/>
  <c r="B14" i="14"/>
  <c r="G4" i="14"/>
  <c r="A2" i="14"/>
  <c r="G5" i="14"/>
  <c r="B8" i="14"/>
  <c r="C6" i="14"/>
  <c r="C5" i="14"/>
  <c r="B13" i="14"/>
  <c r="C9" i="14"/>
  <c r="G13" i="14"/>
  <c r="G9" i="14"/>
  <c r="B5" i="14"/>
  <c r="G3" i="14"/>
  <c r="C13" i="14"/>
  <c r="B11" i="14"/>
  <c r="C12" i="14"/>
  <c r="G14" i="14"/>
  <c r="G6" i="14"/>
  <c r="B9" i="14"/>
  <c r="B10" i="14"/>
  <c r="G7" i="14"/>
  <c r="C7" i="14"/>
  <c r="B2" i="14" l="1"/>
  <c r="G2" i="14"/>
  <c r="C2" i="14"/>
  <c r="D2" i="14" a="1"/>
  <c r="E2" i="14" a="1"/>
  <c r="L19" i="14" l="1"/>
  <c r="L18" i="14"/>
  <c r="L16" i="14"/>
  <c r="E2" i="14"/>
  <c r="L4" i="14"/>
  <c r="P4" i="14" s="1"/>
  <c r="L9" i="14"/>
  <c r="P9" i="14" s="1"/>
  <c r="L8" i="14"/>
  <c r="P8" i="14" s="1"/>
  <c r="L7" i="14"/>
  <c r="P7" i="14" s="1"/>
  <c r="L6" i="14"/>
  <c r="M6" i="14" s="1"/>
  <c r="L12" i="14"/>
  <c r="M12" i="14" s="1"/>
  <c r="S7" i="14" a="1"/>
  <c r="S7" i="14" s="1"/>
  <c r="S6" i="14" a="1"/>
  <c r="S6" i="14" s="1"/>
  <c r="N6" i="14" s="1"/>
  <c r="L14" i="14"/>
  <c r="M14" i="14" s="1"/>
  <c r="L3" i="14"/>
  <c r="M3" i="14" s="1"/>
  <c r="L13" i="14"/>
  <c r="P13" i="14" s="1"/>
  <c r="L5" i="14"/>
  <c r="M5" i="14" s="1"/>
  <c r="L11" i="14"/>
  <c r="P11" i="14" s="1"/>
  <c r="L10" i="14"/>
  <c r="M10" i="14" s="1"/>
  <c r="D2" i="14"/>
  <c r="L2" i="14" s="1"/>
  <c r="M2" i="14" s="1"/>
  <c r="N27" i="14"/>
  <c r="N35" i="14"/>
  <c r="N43" i="14"/>
  <c r="N51" i="14"/>
  <c r="N59" i="14"/>
  <c r="N67" i="14"/>
  <c r="N75" i="14"/>
  <c r="N83" i="14"/>
  <c r="N23" i="14"/>
  <c r="N47" i="14"/>
  <c r="N79" i="14"/>
  <c r="N24" i="14"/>
  <c r="N48" i="14"/>
  <c r="N80" i="14"/>
  <c r="N20" i="14"/>
  <c r="N28" i="14"/>
  <c r="N36" i="14"/>
  <c r="N44" i="14"/>
  <c r="N52" i="14"/>
  <c r="N60" i="14"/>
  <c r="N68" i="14"/>
  <c r="N76" i="14"/>
  <c r="N84" i="14"/>
  <c r="N31" i="14"/>
  <c r="N39" i="14"/>
  <c r="N63" i="14"/>
  <c r="N40" i="14"/>
  <c r="N72" i="14"/>
  <c r="N21" i="14"/>
  <c r="N29" i="14"/>
  <c r="N37" i="14"/>
  <c r="N45" i="14"/>
  <c r="N53" i="14"/>
  <c r="N61" i="14"/>
  <c r="N69" i="14"/>
  <c r="N77" i="14"/>
  <c r="N85" i="14"/>
  <c r="N15" i="14"/>
  <c r="N71" i="14"/>
  <c r="N32" i="14"/>
  <c r="N64" i="14"/>
  <c r="N22" i="14"/>
  <c r="N30" i="14"/>
  <c r="N38" i="14"/>
  <c r="N46" i="14"/>
  <c r="N54" i="14"/>
  <c r="N62" i="14"/>
  <c r="N70" i="14"/>
  <c r="N78" i="14"/>
  <c r="N55" i="14"/>
  <c r="N56" i="14"/>
  <c r="N17" i="14"/>
  <c r="N25" i="14"/>
  <c r="N33" i="14"/>
  <c r="N41" i="14"/>
  <c r="N49" i="14"/>
  <c r="N57" i="14"/>
  <c r="N65" i="14"/>
  <c r="N73" i="14"/>
  <c r="N81" i="14"/>
  <c r="N26" i="14"/>
  <c r="N34" i="14"/>
  <c r="N42" i="14"/>
  <c r="N50" i="14"/>
  <c r="N58" i="14"/>
  <c r="N66" i="14"/>
  <c r="N74" i="14"/>
  <c r="N82" i="14"/>
  <c r="O27" i="14"/>
  <c r="O35" i="14"/>
  <c r="O43" i="14"/>
  <c r="O51" i="14"/>
  <c r="O59" i="14"/>
  <c r="O67" i="14"/>
  <c r="O75" i="14"/>
  <c r="O83" i="14"/>
  <c r="O39" i="14"/>
  <c r="O71" i="14"/>
  <c r="O56" i="14"/>
  <c r="O80" i="14"/>
  <c r="O25" i="14"/>
  <c r="O50" i="14"/>
  <c r="O20" i="14"/>
  <c r="O28" i="14"/>
  <c r="O36" i="14"/>
  <c r="O44" i="14"/>
  <c r="O52" i="14"/>
  <c r="O60" i="14"/>
  <c r="O68" i="14"/>
  <c r="O76" i="14"/>
  <c r="O84" i="14"/>
  <c r="O23" i="14"/>
  <c r="O55" i="14"/>
  <c r="O24" i="14"/>
  <c r="O48" i="14"/>
  <c r="O72" i="14"/>
  <c r="O33" i="14"/>
  <c r="O41" i="14"/>
  <c r="O65" i="14"/>
  <c r="O34" i="14"/>
  <c r="O58" i="14"/>
  <c r="O21" i="14"/>
  <c r="O29" i="14"/>
  <c r="O37" i="14"/>
  <c r="O45" i="14"/>
  <c r="O53" i="14"/>
  <c r="O61" i="14"/>
  <c r="O69" i="14"/>
  <c r="O77" i="14"/>
  <c r="O85" i="14"/>
  <c r="O31" i="14"/>
  <c r="O63" i="14"/>
  <c r="O32" i="14"/>
  <c r="O17" i="14"/>
  <c r="O57" i="14"/>
  <c r="O81" i="14"/>
  <c r="O42" i="14"/>
  <c r="O82" i="14"/>
  <c r="O22" i="14"/>
  <c r="O30" i="14"/>
  <c r="O38" i="14"/>
  <c r="O46" i="14"/>
  <c r="O54" i="14"/>
  <c r="O62" i="14"/>
  <c r="O70" i="14"/>
  <c r="O78" i="14"/>
  <c r="O86" i="14"/>
  <c r="O15" i="14"/>
  <c r="O47" i="14"/>
  <c r="O79" i="14"/>
  <c r="O40" i="14"/>
  <c r="O64" i="14"/>
  <c r="O49" i="14"/>
  <c r="O73" i="14"/>
  <c r="O26" i="14"/>
  <c r="O74" i="14"/>
  <c r="O66" i="14"/>
  <c r="P18" i="14" l="1"/>
  <c r="M18" i="14"/>
  <c r="O18" i="14" s="1"/>
  <c r="P16" i="14"/>
  <c r="M16" i="14"/>
  <c r="O16" i="14" s="1"/>
  <c r="P19" i="14"/>
  <c r="M19" i="14"/>
  <c r="O19" i="14" s="1"/>
  <c r="N16" i="14"/>
  <c r="N18" i="14"/>
  <c r="N19" i="14"/>
  <c r="P12" i="14"/>
  <c r="M9" i="14"/>
  <c r="O9" i="14" s="1"/>
  <c r="P6" i="14"/>
  <c r="P3" i="14"/>
  <c r="P10" i="14"/>
  <c r="M11" i="14"/>
  <c r="O11" i="14" s="1"/>
  <c r="N12" i="14"/>
  <c r="N5" i="14"/>
  <c r="N8" i="14"/>
  <c r="N3" i="14"/>
  <c r="O14" i="14"/>
  <c r="O6" i="14"/>
  <c r="P14" i="14"/>
  <c r="N13" i="14"/>
  <c r="M7" i="14"/>
  <c r="O7" i="14" s="1"/>
  <c r="M4" i="14"/>
  <c r="O4" i="14" s="1"/>
  <c r="B18" i="17"/>
  <c r="N10" i="14"/>
  <c r="N7" i="14"/>
  <c r="O2" i="14"/>
  <c r="M13" i="14"/>
  <c r="O13" i="14" s="1"/>
  <c r="N14" i="14"/>
  <c r="N9" i="14"/>
  <c r="O5" i="14"/>
  <c r="M8" i="14"/>
  <c r="O8" i="14" s="1"/>
  <c r="O12" i="14"/>
  <c r="N2" i="14"/>
  <c r="N4" i="14"/>
  <c r="O3" i="14"/>
  <c r="N11" i="14"/>
  <c r="O10" i="14"/>
  <c r="U42" i="21"/>
  <c r="U41" i="21"/>
  <c r="V41" i="21" s="1"/>
  <c r="U36" i="21"/>
  <c r="U40" i="21"/>
  <c r="U35" i="21"/>
  <c r="W43" i="21"/>
  <c r="U33" i="21"/>
  <c r="U37" i="21"/>
  <c r="U31" i="21"/>
  <c r="T6" i="14" l="1"/>
  <c r="U6" i="14"/>
  <c r="R51" i="21"/>
  <c r="R52" i="21"/>
  <c r="R45" i="21"/>
  <c r="T45" i="21" s="1"/>
  <c r="U45" i="21" s="1"/>
  <c r="R53" i="21"/>
  <c r="R46" i="21"/>
  <c r="R54" i="21"/>
  <c r="R48" i="21"/>
  <c r="R50" i="21"/>
  <c r="R47" i="21"/>
  <c r="R55" i="21"/>
  <c r="T55" i="21" s="1"/>
  <c r="R49" i="21"/>
  <c r="W33" i="21"/>
  <c r="V42" i="21"/>
  <c r="V36" i="21"/>
  <c r="V31" i="21"/>
  <c r="U43" i="21"/>
  <c r="X43" i="21" s="1"/>
  <c r="V33" i="21"/>
  <c r="X33" i="21"/>
  <c r="V37" i="21"/>
  <c r="V35" i="21"/>
  <c r="V40" i="21"/>
  <c r="S51" i="21" l="1"/>
  <c r="V51" i="21" s="1"/>
  <c r="S50" i="21"/>
  <c r="V50" i="21" s="1"/>
  <c r="S52" i="21"/>
  <c r="V52" i="21" s="1"/>
  <c r="S45" i="21"/>
  <c r="V45" i="21" s="1"/>
  <c r="S53" i="21"/>
  <c r="V53" i="21" s="1"/>
  <c r="S46" i="21"/>
  <c r="V46" i="21" s="1"/>
  <c r="S54" i="21"/>
  <c r="V54" i="21" s="1"/>
  <c r="S47" i="21"/>
  <c r="V47" i="21" s="1"/>
  <c r="S55" i="21"/>
  <c r="S48" i="21"/>
  <c r="V48" i="21" s="1"/>
  <c r="S49" i="21"/>
  <c r="V49" i="21" s="1"/>
  <c r="U55" i="21"/>
  <c r="W55" i="21"/>
  <c r="V43" i="21"/>
  <c r="X55" i="21" l="1"/>
  <c r="V55" i="21"/>
  <c r="AA41" i="21"/>
  <c r="AB41" i="21" s="1"/>
  <c r="AA35" i="21"/>
  <c r="AB35" i="21" s="1"/>
  <c r="AA42" i="21"/>
  <c r="AB42" i="21" s="1"/>
  <c r="AA31" i="21"/>
  <c r="AB31" i="21" s="1"/>
  <c r="AA33" i="21"/>
  <c r="AD33" i="21" s="1"/>
  <c r="AA36" i="21"/>
  <c r="AB36" i="21" s="1"/>
  <c r="AA37" i="21"/>
  <c r="AB37" i="21" s="1"/>
  <c r="AA43" i="21"/>
  <c r="AB43" i="21" s="1"/>
  <c r="AA40" i="21"/>
  <c r="AB40" i="21" s="1"/>
  <c r="AC37" i="21" l="1"/>
  <c r="AD43" i="21"/>
  <c r="AC41" i="21"/>
  <c r="AC43" i="21"/>
  <c r="AE43" i="21"/>
  <c r="AC31" i="21"/>
  <c r="AC42" i="21"/>
  <c r="AC36" i="21"/>
  <c r="AC35" i="21"/>
  <c r="AC40" i="21"/>
  <c r="AB33" i="21"/>
  <c r="Z51" i="21" l="1"/>
  <c r="AC51" i="21" s="1"/>
  <c r="Z47" i="21"/>
  <c r="AC47" i="21" s="1"/>
  <c r="Z52" i="21"/>
  <c r="AC52" i="21" s="1"/>
  <c r="Z45" i="21"/>
  <c r="Z53" i="21"/>
  <c r="AC53" i="21" s="1"/>
  <c r="Z46" i="21"/>
  <c r="AC46" i="21" s="1"/>
  <c r="Z54" i="21"/>
  <c r="AC54" i="21" s="1"/>
  <c r="Z55" i="21"/>
  <c r="Z48" i="21"/>
  <c r="AC48" i="21" s="1"/>
  <c r="Z49" i="21"/>
  <c r="AC49" i="21" s="1"/>
  <c r="Z50" i="21"/>
  <c r="AC50" i="21" s="1"/>
  <c r="Y51" i="21"/>
  <c r="Y52" i="21"/>
  <c r="Y45" i="21"/>
  <c r="AA45" i="21" s="1"/>
  <c r="AB45" i="21" s="1"/>
  <c r="Y53" i="21"/>
  <c r="Y46" i="21"/>
  <c r="Y54" i="21"/>
  <c r="Y47" i="21"/>
  <c r="Y55" i="21"/>
  <c r="AA55" i="21" s="1"/>
  <c r="Y48" i="21"/>
  <c r="Y49" i="21"/>
  <c r="Y50" i="21"/>
  <c r="AC33" i="21"/>
  <c r="AE33" i="21"/>
  <c r="AC45" i="21" l="1"/>
  <c r="AB55" i="21"/>
  <c r="AD55" i="21"/>
  <c r="AE55" i="21" l="1"/>
  <c r="AC55" i="21"/>
  <c r="AH42" i="21"/>
  <c r="AI42" i="21" s="1"/>
  <c r="AH31" i="21"/>
  <c r="AI31" i="21" s="1"/>
  <c r="AH43" i="21"/>
  <c r="AK43" i="21" s="1"/>
  <c r="AH33" i="21"/>
  <c r="AK33" i="21" s="1"/>
  <c r="AH36" i="21"/>
  <c r="AI36" i="21" s="1"/>
  <c r="AH41" i="21"/>
  <c r="AI41" i="21" s="1"/>
  <c r="AH37" i="21"/>
  <c r="AI37" i="21" s="1"/>
  <c r="AH40" i="21"/>
  <c r="AI40" i="21" s="1"/>
  <c r="AH35" i="21"/>
  <c r="AI35" i="21" s="1"/>
  <c r="AF51" i="21" l="1"/>
  <c r="AF52" i="21"/>
  <c r="AF45" i="21"/>
  <c r="AH45" i="21" s="1"/>
  <c r="AI45" i="21" s="1"/>
  <c r="AF53" i="21"/>
  <c r="AF46" i="21"/>
  <c r="AF54" i="21"/>
  <c r="AF47" i="21"/>
  <c r="AF55" i="21"/>
  <c r="AH55" i="21" s="1"/>
  <c r="AF48" i="21"/>
  <c r="AF49" i="21"/>
  <c r="AF50" i="21"/>
  <c r="AI33" i="21"/>
  <c r="AL33" i="21" s="1"/>
  <c r="AJ35" i="21"/>
  <c r="AJ40" i="21"/>
  <c r="AJ37" i="21"/>
  <c r="AJ41" i="21"/>
  <c r="AJ36" i="21"/>
  <c r="AJ31" i="21"/>
  <c r="AJ42" i="21"/>
  <c r="AI43" i="21"/>
  <c r="AI55" i="21" l="1"/>
  <c r="AK55" i="21"/>
  <c r="AJ33" i="21"/>
  <c r="AL43" i="21"/>
  <c r="AJ43" i="21"/>
  <c r="AG51" i="21" l="1"/>
  <c r="AJ51" i="21" s="1"/>
  <c r="AG46" i="21"/>
  <c r="AJ46" i="21" s="1"/>
  <c r="AG54" i="21"/>
  <c r="AJ54" i="21" s="1"/>
  <c r="AG50" i="21"/>
  <c r="AJ50" i="21" s="1"/>
  <c r="AG52" i="21"/>
  <c r="AJ52" i="21" s="1"/>
  <c r="AG53" i="21"/>
  <c r="AJ53" i="21" s="1"/>
  <c r="AG47" i="21"/>
  <c r="AJ47" i="21" s="1"/>
  <c r="AG55" i="21"/>
  <c r="AJ55" i="21" s="1"/>
  <c r="AG48" i="21"/>
  <c r="AJ48" i="21" s="1"/>
  <c r="AG49" i="21"/>
  <c r="AJ49" i="21" s="1"/>
  <c r="AG45" i="21"/>
  <c r="AJ45" i="21" s="1"/>
  <c r="AL55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F505067F-9448-4AAF-BDA8-B02B95E11BB7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A4FF7F4A-73F5-44D7-B8B0-D7BD81EEB8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6F0CB40-B12A-45AB-BDC4-62D0AE34FB1F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9983020-C5C6-4C61-87F8-22A01C27A89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C548F666-CB4B-4263-8F71-A0A7E20ED5C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872F8A6C-889A-4E31-BA0D-83AC70A1084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40BC0E11-3BE4-4B08-9FA7-8A0566E89DA3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F9852372-BC16-4E7E-96FB-8BF933795FF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432E974E-5D5C-4F94-954A-D4705B09051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E1A34B3B-2978-4DF0-B3B7-61C32A0EBC36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D2" authorId="0" shapeId="0" xr:uid="{4B6FB9A4-1416-4ACC-8B22-4D2842487B2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if filled out by RnD chemist, based on his/her labbook
</t>
        </r>
      </text>
    </comment>
    <comment ref="E2" authorId="0" shapeId="0" xr:uid="{7DF7F3C9-13B8-421E-AED3-88C75512E982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 This column together with "Values" comes straight from PGI in form of a link.</t>
        </r>
      </text>
    </comment>
    <comment ref="H2" authorId="0" shapeId="0" xr:uid="{6E8CE553-9513-414F-9D89-13BE16A4CF14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1E66C768-4511-4A15-8FBD-3646627F448E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V2" authorId="0" shapeId="0" xr:uid="{6D42FD61-417A-4C66-ACDF-13236D6E2DF1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Denys Verves</author>
  </authors>
  <commentList>
    <comment ref="H2" authorId="0" shapeId="0" xr:uid="{A7E6FC35-9E78-484E-BE56-C3DF9C54E59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up by PM before or after tech batch.</t>
        </r>
      </text>
    </comment>
    <comment ref="I2" authorId="0" shapeId="0" xr:uid="{F36A1BC1-97AD-457C-9C9E-18955E416D25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  <comment ref="W2" authorId="0" shapeId="0" xr:uid="{016636AC-C30C-4705-BA0D-D4960A7D04A8}">
      <text>
        <r>
          <rPr>
            <b/>
            <sz val="9"/>
            <color indexed="81"/>
            <rFont val="Tahoma"/>
            <family val="2"/>
          </rPr>
          <t>Denys Verves:</t>
        </r>
        <r>
          <rPr>
            <sz val="9"/>
            <color indexed="81"/>
            <rFont val="Tahoma"/>
            <family val="2"/>
          </rPr>
          <t xml:space="preserve">
this column is filled out by PM before of after first tech batch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tc={0618DFBD-FA83-4D60-B6B9-75C007C5BDC1}</author>
    <author>tc={5ECD6178-0BB2-46B9-8D0D-C0BB294F66ED}</author>
  </authors>
  <commentList>
    <comment ref="AB1" authorId="0" shapeId="0" xr:uid="{0618DFBD-FA83-4D60-B6B9-75C007C5BDC1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Min yield values</t>
      </text>
    </comment>
    <comment ref="AI1" authorId="1" shapeId="0" xr:uid="{5ECD6178-0BB2-46B9-8D0D-C0BB294F66ED}">
      <text>
        <t>[Threaded comment]
Your version of Excel allows you to read this threaded comment; however, any edits to it will get removed if the file is opened in a newer version of Excel. Learn more: https://go.microsoft.com/fwlink/?linkid=870924
Comment:
    Filled based on max output values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tc={D58C3E4F-04CF-4681-BC4A-4C07555C6F6E}</author>
    <author>tc={64E0EC84-4B7E-42AF-B4BE-341DB98690A9}</author>
    <author>tc={AC391CA2-8EA6-4C91-8956-DDACD0C7FB58}</author>
    <author>tc={875EDD57-7D2E-464C-BAC1-A268CD5ADEE9}</author>
    <author>tc={5AE09230-A91E-4BEE-9EF1-EA2C9C93B8F9}</author>
    <author>tc={B07B2DA6-B759-44AD-ABDC-3A4647D960C7}</author>
  </authors>
  <commentList>
    <comment ref="I1" authorId="0" shapeId="0" xr:uid="{D58C3E4F-04CF-4681-BC4A-4C07555C6F6E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J1" authorId="1" shapeId="0" xr:uid="{64E0EC84-4B7E-42AF-B4BE-341DB98690A9}">
      <text>
        <t>[Threaded comment]
Your version of Excel allows you to read this threaded comment; however, any edits to it will get removed if the file is opened in a newer version of Excel. Learn more: https://go.microsoft.com/fwlink/?linkid=870924
Comment:
    Specify: L or kg</t>
      </text>
    </comment>
    <comment ref="L1" authorId="2" shapeId="0" xr:uid="{AC391CA2-8EA6-4C91-8956-DDACD0C7FB58}">
      <text>
        <t>[Threaded comment]
Your version of Excel allows you to read this threaded comment; however, any edits to it will get removed if the file is opened in a newer version of Excel. Learn more: https://go.microsoft.com/fwlink/?linkid=870924
Comment:
    DARK BLUE: OUTPUTS</t>
      </text>
    </comment>
    <comment ref="P1" authorId="3" shapeId="0" xr:uid="{875EDD57-7D2E-464C-BAC1-A268CD5ADEE9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INPUTS</t>
      </text>
    </comment>
    <comment ref="Q1" authorId="4" shapeId="0" xr:uid="{5AE09230-A91E-4BEE-9EF1-EA2C9C93B8F9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request / Order</t>
      </text>
    </comment>
    <comment ref="S5" authorId="5" shapeId="0" xr:uid="{B07B2DA6-B759-44AD-ABDC-3A4647D960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Overwrite automatic value if needed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tc={AC035DFB-AD5C-49AF-9C3D-025516824B69}</author>
    <author>tc={BD2E7CB9-C79C-475B-8D0E-38EC3E88A487}</author>
  </authors>
  <commentList>
    <comment ref="A1" authorId="0" shapeId="0" xr:uid="{AC035DFB-AD5C-49AF-9C3D-025516824B69}">
      <text>
        <t>[Threaded comment]
Your version of Excel allows you to read this threaded comment; however, any edits to it will get removed if the file is opened in a newer version of Excel. Learn more: https://go.microsoft.com/fwlink/?linkid=870924
Comment:
    YELLOW: INPUTS</t>
      </text>
    </comment>
    <comment ref="E1" authorId="1" shapeId="0" xr:uid="{BD2E7CB9-C79C-475B-8D0E-38EC3E88A487}">
      <text>
        <t>[Threaded comment]
Your version of Excel allows you to read this threaded comment; however, any edits to it will get removed if the file is opened in a newer version of Excel. Learn more: https://go.microsoft.com/fwlink/?linkid=870924
Comment:
    BLUE: OUTPUTS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tc={3FE5AAEB-84C6-4AC0-88B0-6E0CEAF26812}</author>
    <author>tc={3A6992AF-94D5-439D-BF78-25FE3FD09E0E}</author>
    <author>tc={E8CF2928-1585-4E08-81F6-CAF0F0C4EFBA}</author>
    <author>tc={1385D39E-098B-4C18-91EA-F025D3E5CAE3}</author>
    <author>tc={9A7CD706-B6E3-44C3-8790-A98A60324C3C}</author>
    <author>tc={84B99A2A-6FCB-43C3-AC4B-3250ACB809C3}</author>
    <author>tc={EED3268D-8341-413B-B425-887043E8C733}</author>
  </authors>
  <commentList>
    <comment ref="A1" authorId="0" shapeId="0" xr:uid="{3FE5AAEB-84C6-4AC0-88B0-6E0CEAF26812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</t>
      </text>
    </comment>
    <comment ref="A2" authorId="1" shapeId="0" xr:uid="{3A6992AF-94D5-439D-BF78-25FE3FD09E0E}">
      <text>
        <t>[Threaded comment]
Your version of Excel allows you to read this threaded comment; however, any edits to it will get removed if the file is opened in a newer version of Excel. Learn more: https://go.microsoft.com/fwlink/?linkid=870924
Comment:
    Do not modify global parameters</t>
      </text>
    </comment>
    <comment ref="E4" authorId="2" shapeId="0" xr:uid="{E8CF2928-1585-4E08-81F6-CAF0F0C4EFBA}">
      <text>
        <t>[Threaded comment]
Your version of Excel allows you to read this threaded comment; however, any edits to it will get removed if the file is opened in a newer version of Excel. Learn more: https://go.microsoft.com/fwlink/?linkid=870924
Comment:
    Reasoning for changes from last version. General comments</t>
      </text>
    </comment>
    <comment ref="E5" authorId="3" shapeId="0" xr:uid="{1385D39E-098B-4C18-91EA-F025D3E5CAE3}">
      <text>
        <t>[Threaded comment]
Your version of Excel allows you to read this threaded comment; however, any edits to it will get removed if the file is opened in a newer version of Excel. Learn more: https://go.microsoft.com/fwlink/?linkid=870924
Comment:
    Description of output amounts, brief overview of contents</t>
      </text>
    </comment>
    <comment ref="A7" authorId="4" shapeId="0" xr:uid="{9A7CD706-B6E3-44C3-8790-A98A60324C3C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appropriate values</t>
      </text>
    </comment>
    <comment ref="B7" authorId="5" shapeId="0" xr:uid="{84B99A2A-6FCB-43C3-AC4B-3250ACB809C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  <comment ref="A8" authorId="6" shapeId="0" xr:uid="{EED3268D-8341-413B-B425-887043E8C733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chemical calculation with min, average or max yield values in the Chemicals sheets.
Reply:
    Not that Min and Max yield info is hidden by default if "PGI column" selection is RnD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<sst xmlns="http://schemas.openxmlformats.org/spreadsheetml/2006/main" count="3733" uniqueCount="1008">
  <si>
    <t xml:space="preserve"> limiting reactant</t>
  </si>
  <si>
    <t xml:space="preserve"> Chemical name</t>
  </si>
  <si>
    <t xml:space="preserve"> CAS</t>
  </si>
  <si>
    <t>TP.1</t>
  </si>
  <si>
    <t xml:space="preserve"> </t>
  </si>
  <si>
    <t xml:space="preserve"> 7732-18-5</t>
  </si>
  <si>
    <t xml:space="preserve"> H2O</t>
  </si>
  <si>
    <t>IP.1</t>
  </si>
  <si>
    <t>Input (Mass)</t>
  </si>
  <si>
    <t>TP.2</t>
  </si>
  <si>
    <t>TP.3</t>
  </si>
  <si>
    <t>IP.3</t>
  </si>
  <si>
    <t>IP.2</t>
  </si>
  <si>
    <t>Main starting material</t>
  </si>
  <si>
    <t>Reaction step</t>
  </si>
  <si>
    <t>2,6-dichloropurine (SM.1)</t>
  </si>
  <si>
    <t>DHP</t>
  </si>
  <si>
    <t>PPTS</t>
  </si>
  <si>
    <t>EtoAc</t>
  </si>
  <si>
    <t>morpholine</t>
  </si>
  <si>
    <t>MeOH</t>
  </si>
  <si>
    <t>5451-40-1</t>
  </si>
  <si>
    <t>nBuLi</t>
  </si>
  <si>
    <t>THF</t>
  </si>
  <si>
    <t>acetone</t>
  </si>
  <si>
    <t>TP.4</t>
  </si>
  <si>
    <t>IP.4</t>
  </si>
  <si>
    <t>water</t>
  </si>
  <si>
    <t>KOH</t>
  </si>
  <si>
    <t>TBAB</t>
  </si>
  <si>
    <t>1,2-dibromoethane</t>
  </si>
  <si>
    <t>IP.4 seed</t>
  </si>
  <si>
    <t>EtOH</t>
  </si>
  <si>
    <t>water (washing)</t>
  </si>
  <si>
    <t>TP.5</t>
  </si>
  <si>
    <t>5-bromo-2-pyrimidinamine (SM.2)</t>
  </si>
  <si>
    <t>bis-pinacolborane</t>
  </si>
  <si>
    <t>Pd(dppf)2Cl2</t>
  </si>
  <si>
    <t>IP.5</t>
  </si>
  <si>
    <t>TP.6</t>
  </si>
  <si>
    <t>IP.6</t>
  </si>
  <si>
    <t>Xphos Pd G2</t>
  </si>
  <si>
    <t>K3PO4·H2O</t>
  </si>
  <si>
    <t>water (fos washing filter cake)</t>
  </si>
  <si>
    <t>TP.7</t>
  </si>
  <si>
    <t>IP.7</t>
  </si>
  <si>
    <t>Si-Thiol</t>
  </si>
  <si>
    <t>AcOH</t>
  </si>
  <si>
    <t>AcOH (washing filter</t>
  </si>
  <si>
    <t>IP.7 seeds</t>
  </si>
  <si>
    <t>Acetic acid (seed)</t>
  </si>
  <si>
    <t>water (seed)</t>
  </si>
  <si>
    <t>water (crystallization)</t>
  </si>
  <si>
    <t>water (washing filter cake)</t>
  </si>
  <si>
    <t>Secondary starting material</t>
  </si>
  <si>
    <t>Chemical name</t>
  </si>
  <si>
    <t>CAS</t>
  </si>
  <si>
    <t>Relative molar
 amount</t>
  </si>
  <si>
    <t>Relative 
volume</t>
  </si>
  <si>
    <t>mass 
(Main reactant of TP)</t>
  </si>
  <si>
    <t>Mass (kg)</t>
  </si>
  <si>
    <t>Volume (L)</t>
  </si>
  <si>
    <t>Chemical formula</t>
  </si>
  <si>
    <t>7732-18-5</t>
  </si>
  <si>
    <t>Number of 
kilomoles (n)</t>
  </si>
  <si>
    <t>Minimum stirring
 volume</t>
  </si>
  <si>
    <t>Maximum Total
 Volume</t>
  </si>
  <si>
    <t xml:space="preserve"> molar mass
 (g/mol)</t>
  </si>
  <si>
    <t xml:space="preserve"> density
(kg/L)</t>
  </si>
  <si>
    <t>Include</t>
  </si>
  <si>
    <t>Do you need to press the button?</t>
  </si>
  <si>
    <t>Relative mass</t>
  </si>
  <si>
    <t>Unit</t>
  </si>
  <si>
    <t>kg</t>
  </si>
  <si>
    <t>Methanol</t>
  </si>
  <si>
    <t>67-56-1</t>
  </si>
  <si>
    <t>2-propanol</t>
  </si>
  <si>
    <t>67-63-0</t>
  </si>
  <si>
    <t>Toluene</t>
  </si>
  <si>
    <t>108-88-3</t>
  </si>
  <si>
    <t>Purified water</t>
  </si>
  <si>
    <t>n-Heptane</t>
  </si>
  <si>
    <t>142-82-5</t>
  </si>
  <si>
    <t>Anhydrous EtOH</t>
  </si>
  <si>
    <t>64-17-5</t>
  </si>
  <si>
    <t>Dichloromethane</t>
  </si>
  <si>
    <t>75-09-2</t>
  </si>
  <si>
    <t>tert-Butyl methylether (MTBE)</t>
  </si>
  <si>
    <t>1634-04-4</t>
  </si>
  <si>
    <t>Methylethyl ketone (MEK)</t>
  </si>
  <si>
    <t>78-93-3</t>
  </si>
  <si>
    <t>Dimethylformamide</t>
  </si>
  <si>
    <t>68-12-2</t>
  </si>
  <si>
    <t>Acetonitrile (MeCN)</t>
  </si>
  <si>
    <t>75-05-8</t>
  </si>
  <si>
    <t xml:space="preserve">Ethyl acetate </t>
  </si>
  <si>
    <t>141-78-6</t>
  </si>
  <si>
    <t>Dioxane</t>
  </si>
  <si>
    <t>123-91-1</t>
  </si>
  <si>
    <t>109-99-9</t>
  </si>
  <si>
    <t>Sodium sulfate</t>
  </si>
  <si>
    <t>7757-82-6</t>
  </si>
  <si>
    <t>Sodium chloride</t>
  </si>
  <si>
    <t>7647-14-5</t>
  </si>
  <si>
    <t>Potassium carbonate</t>
  </si>
  <si>
    <t>584-08-7</t>
  </si>
  <si>
    <t>Potassium tert-butoxide</t>
  </si>
  <si>
    <t>865-47-4</t>
  </si>
  <si>
    <t xml:space="preserve">Sodium nitrite </t>
  </si>
  <si>
    <t>7632-00-0</t>
  </si>
  <si>
    <r>
      <t>NaNO</t>
    </r>
    <r>
      <rPr>
        <vertAlign val="subscript"/>
        <sz val="11"/>
        <color theme="1"/>
        <rFont val="Calibri"/>
        <family val="2"/>
        <scheme val="minor"/>
      </rPr>
      <t>2</t>
    </r>
  </si>
  <si>
    <r>
      <t>Sodium bicarbonate (NaHCO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</si>
  <si>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144-55-8</t>
  </si>
  <si>
    <r>
      <t>NaHCO</t>
    </r>
    <r>
      <rPr>
        <vertAlign val="subscript"/>
        <sz val="11"/>
        <color theme="1"/>
        <rFont val="Calibri"/>
        <family val="2"/>
        <scheme val="minor"/>
      </rPr>
      <t>3</t>
    </r>
  </si>
  <si>
    <t>Lithium bromide</t>
  </si>
  <si>
    <t>7550-35-8</t>
  </si>
  <si>
    <t>LiBr</t>
  </si>
  <si>
    <t xml:space="preserve">Sodium bromide </t>
  </si>
  <si>
    <t>7647-15-6</t>
  </si>
  <si>
    <t>Calcium chloride anh.</t>
  </si>
  <si>
    <t>10043-52-4</t>
  </si>
  <si>
    <t>CaCl2</t>
  </si>
  <si>
    <t>Magnesium sulfate anh</t>
  </si>
  <si>
    <t>7487-88-9</t>
  </si>
  <si>
    <t>MgSO4</t>
  </si>
  <si>
    <t>Sodium hydroxide</t>
  </si>
  <si>
    <t>1310-73-2</t>
  </si>
  <si>
    <r>
      <t>Triethylamine (Et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N)</t>
    </r>
  </si>
  <si>
    <t>121-44-8</t>
  </si>
  <si>
    <t>DIPEA</t>
  </si>
  <si>
    <t>7087-68-5</t>
  </si>
  <si>
    <t>Citric acid</t>
  </si>
  <si>
    <t>77-92-9</t>
  </si>
  <si>
    <t>Hydrochloric acid 35%</t>
  </si>
  <si>
    <t>7647-01-0</t>
  </si>
  <si>
    <t>Sulfuric acid 96%</t>
  </si>
  <si>
    <t>7664-93-9</t>
  </si>
  <si>
    <t>Methanesulfonic acid</t>
  </si>
  <si>
    <t>75-75-2</t>
  </si>
  <si>
    <t>TFA</t>
  </si>
  <si>
    <t>76-05-1</t>
  </si>
  <si>
    <t>Hydrogen gas</t>
  </si>
  <si>
    <t>1333-74-0</t>
  </si>
  <si>
    <t>Nitrogen gas</t>
  </si>
  <si>
    <t>7727-37-9</t>
  </si>
  <si>
    <t>Other</t>
  </si>
  <si>
    <t xml:space="preserve">Celite </t>
  </si>
  <si>
    <t>61790-53-2</t>
  </si>
  <si>
    <t>Sodium borohydride</t>
  </si>
  <si>
    <t>16940-66-2</t>
  </si>
  <si>
    <r>
      <t>Methanesulfonic anhydride (Ms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charset val="186"/>
        <scheme val="minor"/>
      </rPr>
      <t>O)</t>
    </r>
  </si>
  <si>
    <t>7143-01-3</t>
  </si>
  <si>
    <t>Type</t>
  </si>
  <si>
    <t>Solvent</t>
  </si>
  <si>
    <t>Salt</t>
  </si>
  <si>
    <t>Acid</t>
  </si>
  <si>
    <t>Base</t>
  </si>
  <si>
    <t>Gas</t>
  </si>
  <si>
    <t>232-432-33</t>
  </si>
  <si>
    <t>322-33-22</t>
  </si>
  <si>
    <t>323-33-33</t>
  </si>
  <si>
    <t>Number of 
kilomoles - min yield (n)</t>
  </si>
  <si>
    <t>Number of 
kilomoles - max yield (n)</t>
  </si>
  <si>
    <t>YIELD</t>
  </si>
  <si>
    <t>Min</t>
  </si>
  <si>
    <t>Avg</t>
  </si>
  <si>
    <t>Max</t>
  </si>
  <si>
    <t xml:space="preserve"> Avg yield</t>
  </si>
  <si>
    <t>Max yield</t>
  </si>
  <si>
    <t>Min yield</t>
  </si>
  <si>
    <t>Notes</t>
  </si>
  <si>
    <t xml:space="preserve"> Chemical formula</t>
  </si>
  <si>
    <t>Intermediate
product</t>
  </si>
  <si>
    <t>Fixed mass of 
main reactant (kg)</t>
  </si>
  <si>
    <t>0,34</t>
  </si>
  <si>
    <t>0,66</t>
  </si>
  <si>
    <t>number of moles - max yield
(Main reactant of TP )</t>
  </si>
  <si>
    <t>mass - min yield
(Main reactant of TP)</t>
  </si>
  <si>
    <t>mass - max yield
(Main reactant of TP)</t>
  </si>
  <si>
    <t>Sample type</t>
  </si>
  <si>
    <t>Number of samples</t>
  </si>
  <si>
    <t>Sample amount (g)</t>
  </si>
  <si>
    <t>Total amount (g)</t>
  </si>
  <si>
    <t>Comments</t>
  </si>
  <si>
    <t>Analytical sample</t>
  </si>
  <si>
    <t>Retention sample</t>
  </si>
  <si>
    <t>Packaging loss</t>
  </si>
  <si>
    <t>ASMF</t>
  </si>
  <si>
    <t>Stability sample</t>
  </si>
  <si>
    <t>Intermediate product</t>
  </si>
  <si>
    <t>Product retention samples (g)</t>
  </si>
  <si>
    <t xml:space="preserve"> Output
 mass (kg)</t>
  </si>
  <si>
    <t xml:space="preserve"> Output 
volume (L)</t>
  </si>
  <si>
    <t>Number of kilomoles 
(Main reactant of TP )</t>
  </si>
  <si>
    <t>Product retention samples (kilomoles)</t>
  </si>
  <si>
    <t>Number of kilomoles (available in next reaction step)</t>
  </si>
  <si>
    <t>Mass (available in next reaction step)</t>
  </si>
  <si>
    <t>Number of kilomoles - min yield
(available in next reaction step)</t>
  </si>
  <si>
    <t>Mass - min yield 
(available in next reaction step)</t>
  </si>
  <si>
    <t>Number of kilomoles - max yield
(available in next reaction step)</t>
  </si>
  <si>
    <t>Mass - max yield 
(available in next reaction step)</t>
  </si>
  <si>
    <t>number of kilomoles - min yield
(Main reactant of TP )</t>
  </si>
  <si>
    <t>Price check date</t>
  </si>
  <si>
    <t>ClickUp link</t>
  </si>
  <si>
    <t>SM/Intermediate / 
Product</t>
  </si>
  <si>
    <t>Price per 
1 kg of final product (EUR)</t>
  </si>
  <si>
    <t>Total price (EUR)</t>
  </si>
  <si>
    <t>Price per 
unit (EUR)</t>
  </si>
  <si>
    <t>Amount required for
1 kg of final product</t>
  </si>
  <si>
    <t>Total amount of
 final product</t>
  </si>
  <si>
    <t>Total price per
 1 kg of final product</t>
  </si>
  <si>
    <t>Total order
 price (EUR)</t>
  </si>
  <si>
    <t>RnD</t>
  </si>
  <si>
    <t>Manufacturing</t>
  </si>
  <si>
    <t>All</t>
  </si>
  <si>
    <t xml:space="preserve"> Max output
 volume (L)</t>
  </si>
  <si>
    <t>Max output
mass (kg)</t>
  </si>
  <si>
    <t>Min output
mass (kg)</t>
  </si>
  <si>
    <t xml:space="preserve"> Min output
volume (L)</t>
  </si>
  <si>
    <t>TOTALS</t>
  </si>
  <si>
    <t>Order amount multiplier</t>
  </si>
  <si>
    <t>PGI Column selection</t>
  </si>
  <si>
    <t>Chemicals column selection</t>
  </si>
  <si>
    <t>Only amounts</t>
  </si>
  <si>
    <t>Order
amount</t>
  </si>
  <si>
    <t>Template version</t>
  </si>
  <si>
    <t>Sheet parameters</t>
  </si>
  <si>
    <t>Global parameters</t>
  </si>
  <si>
    <t>Template release date</t>
  </si>
  <si>
    <t>Document parameters</t>
  </si>
  <si>
    <t>Document version</t>
  </si>
  <si>
    <t>Project name</t>
  </si>
  <si>
    <t>1.0</t>
  </si>
  <si>
    <t>Document completed date</t>
  </si>
  <si>
    <t>&lt;TEXT&gt;</t>
  </si>
  <si>
    <t xml:space="preserve">SELECT YIELD for Chemicals sheet </t>
  </si>
  <si>
    <t>SELECT PGI columns</t>
  </si>
  <si>
    <t>SELECT Chemicals columns</t>
  </si>
  <si>
    <t>VCCPGI summary</t>
  </si>
  <si>
    <t>L</t>
  </si>
  <si>
    <t>PROJECT</t>
  </si>
  <si>
    <t>DATE</t>
  </si>
  <si>
    <t>Document version comments</t>
  </si>
  <si>
    <t>2.2</t>
  </si>
  <si>
    <t>Phthalide (SM.1)</t>
  </si>
  <si>
    <t>87-41-2</t>
  </si>
  <si>
    <t>ImCHO-DMSA</t>
  </si>
  <si>
    <t>NaOMe (30% in MeOH)</t>
  </si>
  <si>
    <t>Water</t>
  </si>
  <si>
    <t>Iodoethane</t>
  </si>
  <si>
    <t>75-03-2</t>
  </si>
  <si>
    <t>67-64-1</t>
  </si>
  <si>
    <t>Acetone</t>
  </si>
  <si>
    <t>MSA</t>
  </si>
  <si>
    <t>HCl in IPrOH</t>
  </si>
  <si>
    <t>ATIPAMEZOLE</t>
  </si>
  <si>
    <t>Isopropyl acetate</t>
  </si>
  <si>
    <t>Column1</t>
  </si>
  <si>
    <t>Synthesis stage</t>
  </si>
  <si>
    <t>Activity name</t>
  </si>
  <si>
    <t>Activity type</t>
  </si>
  <si>
    <t>Description</t>
  </si>
  <si>
    <t>Reagent name</t>
  </si>
  <si>
    <t>parameter</t>
  </si>
  <si>
    <t>value</t>
  </si>
  <si>
    <t>Expected Volume</t>
  </si>
  <si>
    <t>Equipment code 1</t>
  </si>
  <si>
    <t>Equipment code 2</t>
  </si>
  <si>
    <t>Expected duration</t>
  </si>
  <si>
    <t>Lab personnel required for time of activity</t>
  </si>
  <si>
    <t>Start Day</t>
  </si>
  <si>
    <t>Start time (t=0)</t>
  </si>
  <si>
    <t>End time (t=0)</t>
  </si>
  <si>
    <t>loading</t>
  </si>
  <si>
    <t>Amount</t>
  </si>
  <si>
    <t>Set temp</t>
  </si>
  <si>
    <t>N/A</t>
  </si>
  <si>
    <t>Temp. of rm</t>
  </si>
  <si>
    <t>Stirring</t>
  </si>
  <si>
    <t>Addition rate</t>
  </si>
  <si>
    <t>rt/ not controlled</t>
  </si>
  <si>
    <t xml:space="preserve">Temp. of rm </t>
  </si>
  <si>
    <t xml:space="preserve">Stirring </t>
  </si>
  <si>
    <t xml:space="preserve">Addition rate </t>
  </si>
  <si>
    <t>Time</t>
  </si>
  <si>
    <t>cooling</t>
  </si>
  <si>
    <t>filtration</t>
  </si>
  <si>
    <t>Ethanol</t>
  </si>
  <si>
    <t>drying</t>
  </si>
  <si>
    <t>Drying the product</t>
  </si>
  <si>
    <t>Set temp.</t>
  </si>
  <si>
    <t>Target Temp.</t>
  </si>
  <si>
    <t>cooling/heating grad.</t>
  </si>
  <si>
    <t>Washing FK</t>
  </si>
  <si>
    <t>Loaded material temp.</t>
  </si>
  <si>
    <t>End point</t>
  </si>
  <si>
    <t>vacuum</t>
  </si>
  <si>
    <t>dry FK</t>
  </si>
  <si>
    <t>cont.</t>
  </si>
  <si>
    <t>evap.</t>
  </si>
  <si>
    <t>Pressure set range</t>
  </si>
  <si>
    <t>overheating prot.</t>
  </si>
  <si>
    <t>Vacuum</t>
  </si>
  <si>
    <t>layer thickness</t>
  </si>
  <si>
    <t>mixing/delumping</t>
  </si>
  <si>
    <t>150-200rpm</t>
  </si>
  <si>
    <t>in one portion</t>
  </si>
  <si>
    <t>???</t>
  </si>
  <si>
    <t>straight</t>
  </si>
  <si>
    <t>hold time</t>
  </si>
  <si>
    <t>break point</t>
  </si>
  <si>
    <t>yes</t>
  </si>
  <si>
    <t>IPC Method</t>
  </si>
  <si>
    <t>Exp. Result</t>
  </si>
  <si>
    <t>IPC Failure Action</t>
  </si>
  <si>
    <t>IPC</t>
  </si>
  <si>
    <t>NLT100Torr</t>
  </si>
  <si>
    <t>&lt;=4cm</t>
  </si>
  <si>
    <t>one portion</t>
  </si>
  <si>
    <t>critical to not stop stirring. Problems resuming stirring</t>
  </si>
  <si>
    <t>tp.2</t>
  </si>
  <si>
    <t xml:space="preserve">stir, homogenize </t>
  </si>
  <si>
    <t>should be very effeciently</t>
  </si>
  <si>
    <t>tbd</t>
  </si>
  <si>
    <t>set up cold trap on the exit of reactor to catch iodoethan</t>
  </si>
  <si>
    <t>48-72h</t>
  </si>
  <si>
    <t>15-25oC</t>
  </si>
  <si>
    <t>as much as we can, as reactor allows us</t>
  </si>
  <si>
    <t>10oC</t>
  </si>
  <si>
    <t>stir with etoh to complete solid formation</t>
  </si>
  <si>
    <t>30-40min</t>
  </si>
  <si>
    <t>40oC</t>
  </si>
  <si>
    <t>not air/water sensitive</t>
  </si>
  <si>
    <t>reactor</t>
  </si>
  <si>
    <t>vac drying oven</t>
  </si>
  <si>
    <t xml:space="preserve"> 1-3</t>
  </si>
  <si>
    <t xml:space="preserve"> 3-4</t>
  </si>
  <si>
    <t xml:space="preserve"> 4-5</t>
  </si>
  <si>
    <t>heating/cooling</t>
  </si>
  <si>
    <t>rt/not controlled</t>
  </si>
  <si>
    <t>in one portioin</t>
  </si>
  <si>
    <t>Heat the rm.</t>
  </si>
  <si>
    <t>Hold the rm to finsh the reaction.</t>
  </si>
  <si>
    <t>Perform the IPC.</t>
  </si>
  <si>
    <t>will need to cool the rm before taking sample</t>
  </si>
  <si>
    <t>Cool the rm to room temp.</t>
  </si>
  <si>
    <t>pH</t>
  </si>
  <si>
    <t xml:space="preserve"> 8-9</t>
  </si>
  <si>
    <t>filtration with vacuum</t>
  </si>
  <si>
    <t>when FK is dry.</t>
  </si>
  <si>
    <t>manual on filter</t>
  </si>
  <si>
    <t>drying in vac.</t>
  </si>
  <si>
    <t>Product is dried on trays in vacuum oven.</t>
  </si>
  <si>
    <t>4cm</t>
  </si>
  <si>
    <r>
      <t xml:space="preserve">Load </t>
    </r>
    <r>
      <rPr>
        <b/>
        <sz val="11"/>
        <color theme="1"/>
        <rFont val="Calibri"/>
        <family val="2"/>
      </rPr>
      <t>HCl 35%</t>
    </r>
    <r>
      <rPr>
        <sz val="11"/>
        <color theme="1"/>
        <rFont val="Calibri"/>
        <family val="2"/>
      </rPr>
      <t xml:space="preserve"> intor reactor.</t>
    </r>
  </si>
  <si>
    <r>
      <t xml:space="preserve">Load </t>
    </r>
    <r>
      <rPr>
        <b/>
        <sz val="11"/>
        <color theme="1"/>
        <rFont val="Calibri"/>
        <family val="2"/>
      </rPr>
      <t>MeOH</t>
    </r>
    <r>
      <rPr>
        <sz val="11"/>
        <color theme="1"/>
        <rFont val="Calibri"/>
        <family val="2"/>
      </rPr>
      <t xml:space="preserve"> into reactor</t>
    </r>
  </si>
  <si>
    <t>vac. Drying oven.</t>
  </si>
  <si>
    <t>time of ipc</t>
  </si>
  <si>
    <r>
      <t xml:space="preserve">Perform acid neutralization with </t>
    </r>
    <r>
      <rPr>
        <b/>
        <sz val="11"/>
        <color theme="1"/>
        <rFont val="Calibri"/>
        <family val="2"/>
      </rPr>
      <t>8M NaOH.</t>
    </r>
  </si>
  <si>
    <t>0-30oC</t>
  </si>
  <si>
    <t>50oC</t>
  </si>
  <si>
    <t>expected white - off white solid crystals</t>
  </si>
  <si>
    <t>as long as needed.</t>
  </si>
  <si>
    <t>product is not air/moisture sensitive</t>
  </si>
  <si>
    <r>
      <t xml:space="preserve">Load </t>
    </r>
    <r>
      <rPr>
        <b/>
        <sz val="11"/>
        <color theme="1"/>
        <rFont val="Calibri"/>
        <family val="2"/>
      </rPr>
      <t>IP.2</t>
    </r>
    <r>
      <rPr>
        <sz val="11"/>
        <color theme="1"/>
        <rFont val="Calibri"/>
        <family val="2"/>
      </rPr>
      <t xml:space="preserve"> into reactor</t>
    </r>
  </si>
  <si>
    <t>iso-propyl acetate</t>
  </si>
  <si>
    <t>Reactor</t>
  </si>
  <si>
    <t>temp controlled</t>
  </si>
  <si>
    <t>Start heating to reflux</t>
  </si>
  <si>
    <t>holdtime</t>
  </si>
  <si>
    <t>Maintain at reflux for 2 hours</t>
  </si>
  <si>
    <t>Perform IPC by HPLC to check conversion</t>
  </si>
  <si>
    <t>HPLC</t>
  </si>
  <si>
    <t>after 1-1.5h. 0.5h hplc run</t>
  </si>
  <si>
    <t>continue with conv. That we obtained</t>
  </si>
  <si>
    <t>rm temp can be critical. Should be as low as possible.</t>
  </si>
  <si>
    <t>80% or more. More acetate is left - worse preicpitate is formed. This 80% for initial rm volume</t>
  </si>
  <si>
    <t>Pressure</t>
  </si>
  <si>
    <t>it was tested distillation at pH 14; 7 and 1-2; In case of 14 and 7 the material is stable.</t>
  </si>
  <si>
    <t>When to stop</t>
  </si>
  <si>
    <t>Activity Name</t>
  </si>
  <si>
    <t>Activity Type</t>
  </si>
  <si>
    <t>Reagent Name</t>
  </si>
  <si>
    <t>Parameter</t>
  </si>
  <si>
    <t>Value</t>
  </si>
  <si>
    <t>Equipment Code 1</t>
  </si>
  <si>
    <t>Equipment Code 2</t>
  </si>
  <si>
    <t>Expected Duration</t>
  </si>
  <si>
    <t>Lab Personnel Required</t>
  </si>
  <si>
    <t>Start Time (t=0)</t>
  </si>
  <si>
    <t>End Time (t=0)</t>
  </si>
  <si>
    <t>Ethanol (anhydrous)</t>
  </si>
  <si>
    <t>IP3</t>
  </si>
  <si>
    <t>NaBH₄</t>
  </si>
  <si>
    <t>Stir reaction mixture at RT</t>
  </si>
  <si>
    <t>Concentrate reaction mixture by rotavapor</t>
  </si>
  <si>
    <t>Rotavapor</t>
  </si>
  <si>
    <t>Extract product with EA</t>
  </si>
  <si>
    <t>Ethyl acetate (EA)</t>
  </si>
  <si>
    <t>Wash EA layers with brine</t>
  </si>
  <si>
    <t>Loading</t>
  </si>
  <si>
    <t>RT / not controlled</t>
  </si>
  <si>
    <t>150–200 rpm</t>
  </si>
  <si>
    <t>In one portion</t>
  </si>
  <si>
    <t>Heating/Cooling</t>
  </si>
  <si>
    <t>TBD</t>
  </si>
  <si>
    <t>Target temp</t>
  </si>
  <si>
    <t>Cooling/heating gradient</t>
  </si>
  <si>
    <t>As required</t>
  </si>
  <si>
    <t>Maintain +5°C</t>
  </si>
  <si>
    <t>Controlled to maintain temp</t>
  </si>
  <si>
    <t>RT</t>
  </si>
  <si>
    <t>Hold Time</t>
  </si>
  <si>
    <t>15 µL RM + 985 µL methanol</t>
  </si>
  <si>
    <t>After 3 hours</t>
  </si>
  <si>
    <t>Exothermic; monitor temperature</t>
  </si>
  <si>
    <t>Crude salt used for next step</t>
  </si>
  <si>
    <t>Drying</t>
  </si>
  <si>
    <t>Switch thermostat for heating, allow rm to reach RT</t>
  </si>
  <si>
    <t xml:space="preserve"> -5…0°C</t>
  </si>
  <si>
    <t>portionwise.
Controlled to maintain temp</t>
  </si>
  <si>
    <t>0…+30oC</t>
  </si>
  <si>
    <t>0…40oC</t>
  </si>
  <si>
    <t>keep it below bp of acetone.</t>
  </si>
  <si>
    <t>set to 60oC</t>
  </si>
  <si>
    <t>Cooling/heating grad.</t>
  </si>
  <si>
    <t>Break point</t>
  </si>
  <si>
    <t>Evaporation</t>
  </si>
  <si>
    <t>Specify bath temp</t>
  </si>
  <si>
    <t>Reduce volume to 15–20% of initial volume</t>
  </si>
  <si>
    <t>Extr./Separ.</t>
  </si>
  <si>
    <t>Exp. time</t>
  </si>
  <si>
    <t>6 N HCl in i-PrOH</t>
  </si>
  <si>
    <t>Drying in Vac.</t>
  </si>
  <si>
    <t>Overheating prot.</t>
  </si>
  <si>
    <t>Layer thickness</t>
  </si>
  <si>
    <t>Mixing/delumping</t>
  </si>
  <si>
    <t>NO</t>
  </si>
  <si>
    <t>Yes</t>
  </si>
  <si>
    <t>not controlled</t>
  </si>
  <si>
    <t>1-2h prolong the reaction.</t>
  </si>
  <si>
    <t>in order to prepare ~50% w/w solution</t>
  </si>
  <si>
    <t>Autoclave</t>
  </si>
  <si>
    <t>Pd/C</t>
  </si>
  <si>
    <t>Handle with care; pyrophoric when dry</t>
  </si>
  <si>
    <t>Hydrogenate at 95 °C and 10 bar for 44 h</t>
  </si>
  <si>
    <t>Hydrogen</t>
  </si>
  <si>
    <t>Start heating</t>
  </si>
  <si>
    <t>As required (e.g., 300 rpm)</t>
  </si>
  <si>
    <t>Adjust stirring rate</t>
  </si>
  <si>
    <t>44 h</t>
  </si>
  <si>
    <t>H₂ pressure</t>
  </si>
  <si>
    <t>IPC at 20 h</t>
  </si>
  <si>
    <t>10 µL RM + 950 µL MeOH</t>
  </si>
  <si>
    <t>Not full conversion; intermediates present</t>
  </si>
  <si>
    <t>Not full conversion</t>
  </si>
  <si>
    <t>Time of IPC</t>
  </si>
  <si>
    <t>May require opening autoclave; assess feasibility</t>
  </si>
  <si>
    <t>Safety precautions required</t>
  </si>
  <si>
    <t>IPC at 44 h</t>
  </si>
  <si>
    <t>Perform IPC after 44 h</t>
  </si>
  <si>
    <t>Full conversion achieved</t>
  </si>
  <si>
    <t>Full conversion</t>
  </si>
  <si>
    <t>After 44 h</t>
  </si>
  <si>
    <t>Cool reaction mixture to room temperature</t>
  </si>
  <si>
    <t>Filtration</t>
  </si>
  <si>
    <t>Filtration with Vacuum</t>
  </si>
  <si>
    <t>Filter off Pd/C using Celite pad</t>
  </si>
  <si>
    <t>Filtration complete</t>
  </si>
  <si>
    <t>6 M NaOH</t>
  </si>
  <si>
    <t>Add until target pH is reached</t>
  </si>
  <si>
    <t>Temperature may rise during addition</t>
  </si>
  <si>
    <t>Target 8–9</t>
  </si>
  <si>
    <t>Precipitation</t>
  </si>
  <si>
    <t>Observation</t>
  </si>
  <si>
    <t>White precipitate forms upon neutralization</t>
  </si>
  <si>
    <t>1 h</t>
  </si>
  <si>
    <t>Filtration &amp; Washing</t>
  </si>
  <si>
    <t>Filter precipitate and wash with water</t>
  </si>
  <si>
    <t>Use fresh water for each wash</t>
  </si>
  <si>
    <t>RT or cooled</t>
  </si>
  <si>
    <t>Gentle stirring if necessary</t>
  </si>
  <si>
    <t>Vacuum Oven</t>
  </si>
  <si>
    <t>Until dry</t>
  </si>
  <si>
    <t>IP.4*HCl</t>
  </si>
  <si>
    <t>100oC</t>
  </si>
  <si>
    <t>NMT 30Torr</t>
  </si>
  <si>
    <t>3-4cm</t>
  </si>
  <si>
    <t>after 8-16h</t>
  </si>
  <si>
    <r>
      <t xml:space="preserve">Load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catalyst into autoclave</t>
    </r>
  </si>
  <si>
    <r>
      <t xml:space="preserve">Neutralize filtrate with </t>
    </r>
    <r>
      <rPr>
        <b/>
        <sz val="11"/>
        <color theme="1"/>
        <rFont val="Calibri"/>
        <family val="2"/>
      </rPr>
      <t>6 M NaOH</t>
    </r>
    <r>
      <rPr>
        <sz val="11"/>
        <color theme="1"/>
        <rFont val="Calibri"/>
        <family val="2"/>
      </rPr>
      <t xml:space="preserve"> to pH 8–9</t>
    </r>
  </si>
  <si>
    <t>Filter</t>
  </si>
  <si>
    <r>
      <rPr>
        <b/>
        <sz val="11"/>
        <color theme="1"/>
        <rFont val="Calibri"/>
        <family val="2"/>
      </rPr>
      <t xml:space="preserve">H₂ </t>
    </r>
    <r>
      <rPr>
        <sz val="11"/>
        <color theme="1"/>
        <rFont val="Calibri"/>
        <family val="2"/>
      </rPr>
      <t>Reactions</t>
    </r>
  </si>
  <si>
    <t>TP.5+TP.6</t>
  </si>
  <si>
    <t>NaOH solution</t>
  </si>
  <si>
    <t>For washing</t>
  </si>
  <si>
    <t>To pH 8-9</t>
  </si>
  <si>
    <t>For product washing</t>
  </si>
  <si>
    <t>Reaction solvent</t>
  </si>
  <si>
    <t>leave 2kg for later rinsing reactor walls</t>
  </si>
  <si>
    <t>150-200</t>
  </si>
  <si>
    <t>mild exotherm</t>
  </si>
  <si>
    <t>NA</t>
  </si>
  <si>
    <t>10-15oC</t>
  </si>
  <si>
    <t>using iso-prop acetate to wash reactor walls.</t>
  </si>
  <si>
    <t>fixed</t>
  </si>
  <si>
    <t>63-65</t>
  </si>
  <si>
    <t>no grad.</t>
  </si>
  <si>
    <t>during tech batch we removed slightly above 50% of volume</t>
  </si>
  <si>
    <t>Rotavap</t>
  </si>
  <si>
    <t>Form orange-red precip.
Mix the reaction mixture for 40-60min at 15-25oC.</t>
  </si>
  <si>
    <t>Yes, overnight</t>
  </si>
  <si>
    <t>15oC</t>
  </si>
  <si>
    <t>100-150rpm</t>
  </si>
  <si>
    <t>40-60min</t>
  </si>
  <si>
    <t>for overnight set temp. to 10oC.</t>
  </si>
  <si>
    <t>Filter the product on nutsch filter (used 046-2 with reactor as filtr. Bottle).</t>
  </si>
  <si>
    <t>Prod. Is dry on filter</t>
  </si>
  <si>
    <t>Set. 100Torr</t>
  </si>
  <si>
    <t>Remove 50-80% of iso-propyl acetate by evaporation</t>
  </si>
  <si>
    <t>80-65oC</t>
  </si>
  <si>
    <t>evap from reactor is ok. We can remove 50% of solvent in 3kg scale in 2.5h.</t>
  </si>
  <si>
    <t>50-80% is out</t>
  </si>
  <si>
    <t>NLT 115Torr</t>
  </si>
  <si>
    <t>35% HCl</t>
  </si>
  <si>
    <t>product should precipitate, expected time of adj in 3kg scale was 35min.</t>
  </si>
  <si>
    <t xml:space="preserve"> -10 … 10oC</t>
  </si>
  <si>
    <t>in range 0 … +40oC</t>
  </si>
  <si>
    <t>portionwise</t>
  </si>
  <si>
    <t xml:space="preserve">pH must be checked one more time after hold time. If it is overnight, check pH in the morning. </t>
  </si>
  <si>
    <t xml:space="preserve"> 1-2</t>
  </si>
  <si>
    <t>using reactor as receiver. Product can be pulled from the bottom valve.</t>
  </si>
  <si>
    <t>30-50min</t>
  </si>
  <si>
    <t xml:space="preserve">NO  </t>
  </si>
  <si>
    <t>manual mixing of product on filter</t>
  </si>
  <si>
    <t>pH of the product itself is 1-2, so checking pH of filtrate is pointless.</t>
  </si>
  <si>
    <t>iPrOH</t>
  </si>
  <si>
    <t>Product is loaded on trays and dried in vac oven.</t>
  </si>
  <si>
    <t>&lt;30Torr</t>
  </si>
  <si>
    <t>Do weight check and define when it is dry</t>
  </si>
  <si>
    <t>in 3kg tech batch prod after iPrOH was dry after 24h.</t>
  </si>
  <si>
    <t>packing sampling</t>
  </si>
  <si>
    <t>after drying prod. Is sampled and packed.</t>
  </si>
  <si>
    <t>pack. Mat.</t>
  </si>
  <si>
    <t>double PE bag.</t>
  </si>
  <si>
    <t>Analyt sample</t>
  </si>
  <si>
    <t>Ret sample</t>
  </si>
  <si>
    <t>2g</t>
  </si>
  <si>
    <t>Eq. cleaning</t>
  </si>
  <si>
    <t>Reactors and filters are cleaned</t>
  </si>
  <si>
    <t>solvent</t>
  </si>
  <si>
    <t>time required</t>
  </si>
  <si>
    <t>3-5h</t>
  </si>
  <si>
    <t>After filteration, keep the product on the filter under vacuum</t>
  </si>
  <si>
    <t xml:space="preserve">Use Acetone for susp. The dusty product before loading. </t>
  </si>
  <si>
    <t>200rpm</t>
  </si>
  <si>
    <t>Stirring, critical for the process!!!</t>
  </si>
  <si>
    <t>The stirring must be at max, because a lot of solid Ka2CO3 needs to be suspended.</t>
  </si>
  <si>
    <t>30-60min</t>
  </si>
  <si>
    <t>YES</t>
  </si>
  <si>
    <t>in 3kg tech batch we kept it for overweekend</t>
  </si>
  <si>
    <t>1st day rm is dark red. 3rd day it is dark orange susp.</t>
  </si>
  <si>
    <t>A large deposit of carbonate on the bottom was present whole time</t>
  </si>
  <si>
    <t>filter must be closed. Operators wear masks.</t>
  </si>
  <si>
    <t xml:space="preserve">Cooling down the reaction mixture </t>
  </si>
  <si>
    <t>nutsch filter with cover</t>
  </si>
  <si>
    <t>pulling from the top. Majority of salt should stay in reactor.
washing FK in reactor.</t>
  </si>
  <si>
    <t xml:space="preserve">during tech batch we tried to wash with acetone, but it is very difficult to start stirrer. </t>
  </si>
  <si>
    <t>Proposition - we add water to dissolve salt, it will create 2 layers, acetone on top and water on bottom. Collect acetone as it contains a lot of product.</t>
  </si>
  <si>
    <t>65oC</t>
  </si>
  <si>
    <t>Acetone from above water layer after staying in canister precip a lot of solid. The solid was not transferred into reactor for evap.</t>
  </si>
  <si>
    <t>YES, stop heat. And stir</t>
  </si>
  <si>
    <t>Co-evap EtOH</t>
  </si>
  <si>
    <t>Filtering the reaction mixture with 046-2 and 150L reactor as bottle</t>
  </si>
  <si>
    <t>product contains ca 60% of inorganic soluble in water.</t>
  </si>
  <si>
    <t>Nutsch filter</t>
  </si>
  <si>
    <t>manual thorough on filter</t>
  </si>
  <si>
    <t>product remained grey</t>
  </si>
  <si>
    <t>do weight check</t>
  </si>
  <si>
    <t>used this amount to susp. IP.2 for loading</t>
  </si>
  <si>
    <t>loaded with vacuum</t>
  </si>
  <si>
    <t>67-70oC</t>
  </si>
  <si>
    <t>do we need to reflux it? Maybe sub-boiling?</t>
  </si>
  <si>
    <t>in 3kg scale we got 100% conv in 3h</t>
  </si>
  <si>
    <t xml:space="preserve"> -10…-15oC</t>
  </si>
  <si>
    <t>in 3kg scale took 1h</t>
  </si>
  <si>
    <t>YES, when pH is 8-9</t>
  </si>
  <si>
    <t>after hold time check pH and adjust it again to 8-9</t>
  </si>
  <si>
    <t>40-50min</t>
  </si>
  <si>
    <t>at first rm is dark, after neutr it become off white, light colour</t>
  </si>
  <si>
    <t>Product is precipitated during quench and filtered out on filter 046-2 with reactor as filtr bottle</t>
  </si>
  <si>
    <t>8M NaOH</t>
  </si>
  <si>
    <t>manual mixint on filter</t>
  </si>
  <si>
    <r>
      <t xml:space="preserve">Load wet FK into reactor and load req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>. Set chiller to 0oC and mix product with iPrOH for 20-30min at 0oC in reactor</t>
    </r>
  </si>
  <si>
    <r>
      <t xml:space="preserve">product is charged from reactor on filter. Use min amount of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to wash reactor walls.</t>
    </r>
  </si>
  <si>
    <t xml:space="preserve"> 2-3</t>
  </si>
  <si>
    <t>Exp. Yield</t>
  </si>
  <si>
    <t>Exp. Mass</t>
  </si>
  <si>
    <t>Argon</t>
  </si>
  <si>
    <t xml:space="preserve">NA </t>
  </si>
  <si>
    <t xml:space="preserve"> -15…-10oC</t>
  </si>
  <si>
    <t>in 3kg scale took 3h</t>
  </si>
  <si>
    <t>35 -&gt; 15oC</t>
  </si>
  <si>
    <t>2-3h</t>
  </si>
  <si>
    <t>in 3kg scale we left it overnight, BUT, it is dangerous. Better leave it after quench.</t>
  </si>
  <si>
    <t>in 3kg scale took 2.5h</t>
  </si>
  <si>
    <r>
      <t xml:space="preserve">Add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to quench NaBH₄ with cooling and stirring</t>
    </r>
  </si>
  <si>
    <t xml:space="preserve"> -15…0oC</t>
  </si>
  <si>
    <t>OFF</t>
  </si>
  <si>
    <t>70rpm</t>
  </si>
  <si>
    <t>0.5L/min</t>
  </si>
  <si>
    <t>during tech batch we did evap in reactor and it was BAD, we removed only ~25% and add water and precipitate BLOCKED completely the stirrer. So, we should do it in Rotavap.</t>
  </si>
  <si>
    <t>50-80rpm</t>
  </si>
  <si>
    <t>60oC???</t>
  </si>
  <si>
    <r>
      <t xml:space="preserve">After transfering solution into reactor, add remining amount of </t>
    </r>
    <r>
      <rPr>
        <b/>
        <sz val="11"/>
        <color theme="1"/>
        <rFont val="Calibri"/>
        <family val="2"/>
      </rPr>
      <t>water</t>
    </r>
  </si>
  <si>
    <r>
      <t xml:space="preserve">Dissolve residue in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in rotavap and transfer solution into reactor.</t>
    </r>
  </si>
  <si>
    <t>20oC</t>
  </si>
  <si>
    <r>
      <t xml:space="preserve">After water layer is being extracted with EA, EA is combined and washed with </t>
    </r>
    <r>
      <rPr>
        <b/>
        <sz val="11"/>
        <color theme="1"/>
        <rFont val="Calibri"/>
        <family val="2"/>
      </rPr>
      <t>Brine.</t>
    </r>
  </si>
  <si>
    <t>one washing with Brine is enough?</t>
  </si>
  <si>
    <t>keep EA solution overnight, if needed</t>
  </si>
  <si>
    <t>Concentrate combined EA layers in rotavap (in portions).</t>
  </si>
  <si>
    <t xml:space="preserve">60oC </t>
  </si>
  <si>
    <t>to dryness</t>
  </si>
  <si>
    <t>After adding HCl mix rm to dissolve everything</t>
  </si>
  <si>
    <t>After iPrOH is removed, keep evap for 30-40min to guarantee complete removal of HCl</t>
  </si>
  <si>
    <t>hold time to completely dissolve product in MSA/H2O.</t>
  </si>
  <si>
    <t>as long as needed to dissolve everything.</t>
  </si>
  <si>
    <t>Rota</t>
  </si>
  <si>
    <r>
      <t xml:space="preserve">Suspend </t>
    </r>
    <r>
      <rPr>
        <b/>
        <sz val="11"/>
        <color theme="1"/>
        <rFont val="Calibri"/>
        <family val="2"/>
        <scheme val="minor"/>
      </rPr>
      <t>SM.1 (Phthalide)</t>
    </r>
    <r>
      <rPr>
        <sz val="11"/>
        <color theme="1"/>
        <rFont val="Calibri"/>
        <family val="2"/>
        <charset val="186"/>
        <scheme val="minor"/>
      </rPr>
      <t xml:space="preserve">  in iso-propyl acetate</t>
    </r>
  </si>
  <si>
    <r>
      <t xml:space="preserve">Suspend </t>
    </r>
    <r>
      <rPr>
        <b/>
        <sz val="11"/>
        <color theme="1"/>
        <rFont val="Calibri"/>
        <family val="2"/>
        <scheme val="minor"/>
      </rPr>
      <t>SM.2 (ImCHO-DMSA)</t>
    </r>
    <r>
      <rPr>
        <sz val="11"/>
        <color theme="1"/>
        <rFont val="Calibri"/>
        <family val="2"/>
        <charset val="186"/>
        <scheme val="minor"/>
      </rPr>
      <t xml:space="preserve"> in iso-propyl acetate</t>
    </r>
  </si>
  <si>
    <r>
      <t xml:space="preserve">Add </t>
    </r>
    <r>
      <rPr>
        <b/>
        <sz val="11"/>
        <color theme="1"/>
        <rFont val="Calibri"/>
        <family val="2"/>
        <scheme val="minor"/>
      </rPr>
      <t>NaOMe</t>
    </r>
    <r>
      <rPr>
        <sz val="11"/>
        <color theme="1"/>
        <rFont val="Calibri"/>
        <family val="2"/>
        <charset val="186"/>
        <scheme val="minor"/>
      </rPr>
      <t xml:space="preserve"> solution (30% in MeOH) to the suspension and start heating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</si>
  <si>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charset val="186"/>
        <scheme val="minor"/>
      </rPr>
      <t xml:space="preserve"> to rm in reactor</t>
    </r>
  </si>
  <si>
    <t>Add required amount of 35% HCl into reactor, to adjust pH to 1-2</t>
  </si>
  <si>
    <t>start cooling</t>
  </si>
  <si>
    <t>15-35oC</t>
  </si>
  <si>
    <t>NMT 2h</t>
  </si>
  <si>
    <t>conv. 95%</t>
  </si>
  <si>
    <t>material is not dusty</t>
  </si>
  <si>
    <t>lower temp from 70 to 65oC</t>
  </si>
  <si>
    <t>NMT2h from reflux started; start decomp.</t>
  </si>
  <si>
    <t>what do we do then? - No need to add anything else; presence of sms is not critical. They are purgible.
Next step reaction is still cont.</t>
  </si>
  <si>
    <t>rm is susp.</t>
  </si>
  <si>
    <t>during pre-val check first and second wash.</t>
  </si>
  <si>
    <t>in rnd conduct test of drying at 60oC</t>
  </si>
  <si>
    <t>X</t>
  </si>
  <si>
    <t>Can we have use different blade for stiring shaft?</t>
  </si>
  <si>
    <t>IO suggested to keep it sub-boiling. Maxim said no. Can be tested</t>
  </si>
  <si>
    <t>check the RM in 48h</t>
  </si>
  <si>
    <t>for pre-val we can take more ipcs to see the progress.</t>
  </si>
  <si>
    <t>conv. 99%;</t>
  </si>
  <si>
    <t>what was the result in 3kg tech batch??? - 100%</t>
  </si>
  <si>
    <t>continue boiling, no need to add anything</t>
  </si>
  <si>
    <t>think how to take ipc without cooling the reactor. Sample of suspension should be taken</t>
  </si>
  <si>
    <t>OFF in the beginning, once it is unblocked, start stirring.</t>
  </si>
  <si>
    <t>Separate Acetone layer from aqueous. Filter acetone layer and add to main product.</t>
  </si>
  <si>
    <t>we need to remove iodoethan as much as possible. 
So there should be really no dripping into cold trap.</t>
  </si>
  <si>
    <t>can be added at current temp but then start cooling.</t>
  </si>
  <si>
    <t>rnd will conduct test of drying at 50oC</t>
  </si>
  <si>
    <t>5% aqu. HCL and acetone</t>
  </si>
  <si>
    <t>extr./sep.</t>
  </si>
  <si>
    <t>washing FK</t>
  </si>
  <si>
    <t>packing</t>
  </si>
  <si>
    <t>eq. cleaning</t>
  </si>
  <si>
    <t>MeOH, Acetone</t>
  </si>
  <si>
    <t>Evaluation of parameter criticality</t>
  </si>
  <si>
    <t>CP</t>
  </si>
  <si>
    <t>PC</t>
  </si>
  <si>
    <t>CY</t>
  </si>
  <si>
    <t>KP</t>
  </si>
  <si>
    <t>O</t>
  </si>
  <si>
    <t xml:space="preserve">N </t>
  </si>
  <si>
    <t>TP.1 DETO</t>
  </si>
  <si>
    <t>TP.1 ATI</t>
  </si>
  <si>
    <t>drying reactor</t>
  </si>
  <si>
    <t>Temp. of drying</t>
  </si>
  <si>
    <t>Argon flow during drying</t>
  </si>
  <si>
    <t>10l/min</t>
  </si>
  <si>
    <t>Argon flow after drying</t>
  </si>
  <si>
    <t>2-3l/min</t>
  </si>
  <si>
    <t>DCM</t>
  </si>
  <si>
    <t>Im-CHO</t>
  </si>
  <si>
    <t>Keep mixing and cooling the reaction mixture under argon to required temp. range.</t>
  </si>
  <si>
    <t>DMSA-Cl</t>
  </si>
  <si>
    <t>TEA</t>
  </si>
  <si>
    <t xml:space="preserve"> tbd</t>
  </si>
  <si>
    <t>Set argon flow</t>
  </si>
  <si>
    <t>Start cooling of reactor</t>
  </si>
  <si>
    <t>Set heating of reactor to required range</t>
  </si>
  <si>
    <t>35oC</t>
  </si>
  <si>
    <t>Keep reaction for 12-44h. At least overnight.</t>
  </si>
  <si>
    <t>12-44h</t>
  </si>
  <si>
    <t>extr./separ.</t>
  </si>
  <si>
    <t>Keep stirring for ~30min</t>
  </si>
  <si>
    <t>Stop stirring and let phases to separate. Control good separation</t>
  </si>
  <si>
    <t>al long as needed</t>
  </si>
  <si>
    <t>Keep stirring for 5-10min</t>
  </si>
  <si>
    <t>5-10min</t>
  </si>
  <si>
    <t>Return DCM layer into reactor and start evaporation.</t>
  </si>
  <si>
    <t>remove NLT80% of theoretical DCM</t>
  </si>
  <si>
    <t>n-heptane</t>
  </si>
  <si>
    <t>Continue evap. From reactor</t>
  </si>
  <si>
    <t>remove NLT15% of theoretical DCM</t>
  </si>
  <si>
    <t>60oC</t>
  </si>
  <si>
    <t>20-55oC</t>
  </si>
  <si>
    <t>Cooling down the reaction mixture to required temp.</t>
  </si>
  <si>
    <t>Keep reacion mixture stirring at required temperature.</t>
  </si>
  <si>
    <t>Filter the product using filter 046-13.</t>
  </si>
  <si>
    <t>Dry product on filter with vacuum.</t>
  </si>
  <si>
    <t>50-70min</t>
  </si>
  <si>
    <t>process</t>
  </si>
  <si>
    <t>Load IP.4*HCl (in 1V MSA/H2O) into autoclave inlet beaker</t>
  </si>
  <si>
    <t>purge with argon and H2 before start</t>
  </si>
  <si>
    <t>110oC</t>
  </si>
  <si>
    <t>80-81 °C</t>
  </si>
  <si>
    <t>higher temp the better. 100oC inside of reaction is better.</t>
  </si>
  <si>
    <t>10-11 bar</t>
  </si>
  <si>
    <r>
      <t xml:space="preserve">Add fresh </t>
    </r>
    <r>
      <rPr>
        <b/>
        <sz val="11"/>
        <color theme="1"/>
        <rFont val="Calibri"/>
        <family val="2"/>
      </rPr>
      <t>Pd/C</t>
    </r>
    <r>
      <rPr>
        <sz val="11"/>
        <color theme="1"/>
        <rFont val="Calibri"/>
        <family val="2"/>
      </rPr>
      <t xml:space="preserve"> to autoclave after 44 h if </t>
    </r>
    <r>
      <rPr>
        <b/>
        <sz val="11"/>
        <color rgb="FFFF0000"/>
        <rFont val="Calibri"/>
        <family val="2"/>
      </rPr>
      <t>IPC faild.</t>
    </r>
  </si>
  <si>
    <t>IPC - a lot of intermediates, need to check them too</t>
  </si>
  <si>
    <t>Pd is wet</t>
  </si>
  <si>
    <t>must not filter from 1V, we need to dilute it somehow with hot watr</t>
  </si>
  <si>
    <t>use cartridge filter, wash it with additional hot water. WE can dilute it additionally up to 3-5V with hot water.</t>
  </si>
  <si>
    <t xml:space="preserve"> -10oC</t>
  </si>
  <si>
    <t>0…+50oC</t>
  </si>
  <si>
    <t>Monitor temperature. Temp is actually not critical, we conducted reaction at 100oC. If temp is stable, product precip. Nicely.</t>
  </si>
  <si>
    <t>Use pH meter or indicator. &lt;8 - affects yield; &gt;9 - affects yeld</t>
  </si>
  <si>
    <t>Yes, at 5 … 10oC</t>
  </si>
  <si>
    <t>Stir and cool suspension at5 .,. 15oC for 1 h</t>
  </si>
  <si>
    <t>not air or moisture or light sensitive;</t>
  </si>
  <si>
    <t>IP.5 base</t>
  </si>
  <si>
    <t>Amount, L</t>
  </si>
  <si>
    <t>Reflux for 1h with stirring.</t>
  </si>
  <si>
    <t>hot filtration into 2nd reactor</t>
  </si>
  <si>
    <t>it stays in ipa very good.</t>
  </si>
  <si>
    <t>HCl in iPrOH</t>
  </si>
  <si>
    <t>mild exotherm.</t>
  </si>
  <si>
    <t>cool the rm to 0..5oC</t>
  </si>
  <si>
    <t>0..5oC</t>
  </si>
  <si>
    <t>YES, overnight.</t>
  </si>
  <si>
    <t>NLT 8h</t>
  </si>
  <si>
    <t>filtration on nutsch filter</t>
  </si>
  <si>
    <t>product is not soluble in acetone. It removes HCl</t>
  </si>
  <si>
    <t>product is partially hygroscopic</t>
  </si>
  <si>
    <t>Dry the product in vacuum oven</t>
  </si>
  <si>
    <t>e.g., 40 °C</t>
  </si>
  <si>
    <r>
      <t xml:space="preserve">FK is washed with </t>
    </r>
    <r>
      <rPr>
        <b/>
        <sz val="11"/>
        <color theme="1"/>
        <rFont val="Calibri"/>
        <family val="2"/>
      </rPr>
      <t>Acetone</t>
    </r>
    <r>
      <rPr>
        <sz val="11"/>
        <color theme="1"/>
        <rFont val="Calibri"/>
        <family val="2"/>
      </rPr>
      <t xml:space="preserve"> 3 times</t>
    </r>
  </si>
  <si>
    <r>
      <t xml:space="preserve">add </t>
    </r>
    <r>
      <rPr>
        <b/>
        <sz val="11"/>
        <color theme="1"/>
        <rFont val="Calibri"/>
        <family val="2"/>
      </rPr>
      <t>HCl in iPrOH</t>
    </r>
  </si>
  <si>
    <r>
      <t xml:space="preserve">Load </t>
    </r>
    <r>
      <rPr>
        <b/>
        <sz val="11"/>
        <color theme="1"/>
        <rFont val="Calibri"/>
        <family val="2"/>
      </rPr>
      <t>iPrOH</t>
    </r>
  </si>
  <si>
    <t>85-90oC</t>
  </si>
  <si>
    <t>82-83oC</t>
  </si>
  <si>
    <t>Reactor is dried (heated and cooled under argon).</t>
  </si>
  <si>
    <t>20…35oC</t>
  </si>
  <si>
    <t>2-3 L/min</t>
  </si>
  <si>
    <t xml:space="preserve"> +20… +35oC?</t>
  </si>
  <si>
    <t>20-35oC</t>
  </si>
  <si>
    <t>dusty solid, consider loading in 1kg portions.</t>
  </si>
  <si>
    <t>no reaction at this step.</t>
  </si>
  <si>
    <t>pump with perist pump.</t>
  </si>
  <si>
    <t>smells</t>
  </si>
  <si>
    <t>time</t>
  </si>
  <si>
    <t>15-25min</t>
  </si>
  <si>
    <t>x</t>
  </si>
  <si>
    <t xml:space="preserve"> +20… +35oC</t>
  </si>
  <si>
    <t>dropwise, temp controlled</t>
  </si>
  <si>
    <t>it is toxic, corrosive</t>
  </si>
  <si>
    <t>wear mask and protection.</t>
  </si>
  <si>
    <t>consider filtration it via p1-2 filter prior to loading???</t>
  </si>
  <si>
    <t>argon flow 2-3l/min keeps;</t>
  </si>
  <si>
    <t>keep the argon</t>
  </si>
  <si>
    <t xml:space="preserve"> +20… +30oC;</t>
  </si>
  <si>
    <t>check numbers in pgi</t>
  </si>
  <si>
    <r>
      <t xml:space="preserve">check the RM in  </t>
    </r>
    <r>
      <rPr>
        <sz val="11"/>
        <color rgb="FFFF0000"/>
        <rFont val="Calibri"/>
        <family val="2"/>
        <scheme val="minor"/>
      </rPr>
      <t>12-18h</t>
    </r>
  </si>
  <si>
    <t>in pre-val check ipc more often (like every 6h take a sample)</t>
  </si>
  <si>
    <t>conv. 99%</t>
  </si>
  <si>
    <t>more time, 4-6h more, in extreme case add more dmsa-cl (10% from initial loading).</t>
  </si>
  <si>
    <t xml:space="preserve"> +10… +30oC;</t>
  </si>
  <si>
    <t>some exothermic effect</t>
  </si>
  <si>
    <t>temp. controlled</t>
  </si>
  <si>
    <t>in 5.9kg scale addition took 5 min</t>
  </si>
  <si>
    <t>product goes into dcm.</t>
  </si>
  <si>
    <t>difficult to see phase separation, use light to check</t>
  </si>
  <si>
    <t>consider separation water from the top of reactor.</t>
  </si>
  <si>
    <t>300-400Torr</t>
  </si>
  <si>
    <t>in 5.9kg took 4h</t>
  </si>
  <si>
    <t>NLT 200Torr</t>
  </si>
  <si>
    <t>0 … +5oC</t>
  </si>
  <si>
    <t>NLT 30min</t>
  </si>
  <si>
    <t>100rpm</t>
  </si>
  <si>
    <t>sefar cloth. Use support</t>
  </si>
  <si>
    <t>not air moisture light sensitive. It smells. Precip it pretty heavy. Unloading from reactor requred manual draining…</t>
  </si>
  <si>
    <t>should be very effeciently stirring on filter</t>
  </si>
  <si>
    <t>this can be used to rinse reactor walls and shaft</t>
  </si>
  <si>
    <t>&lt;40Torr</t>
  </si>
  <si>
    <t>MeOH, Water, Acetone</t>
  </si>
  <si>
    <t>membr pump</t>
  </si>
  <si>
    <t>in 5.9kg scale took 24h</t>
  </si>
  <si>
    <r>
      <t xml:space="preserve">liquid. Keep condenser running and control temp. </t>
    </r>
    <r>
      <rPr>
        <b/>
        <sz val="11"/>
        <color rgb="FFFF0000"/>
        <rFont val="Calibri"/>
        <family val="2"/>
        <scheme val="minor"/>
      </rPr>
      <t>consider using diaphragma pump instead of drop funnel???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</si>
  <si>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intor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</si>
  <si>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Im-CHO</t>
    </r>
    <r>
      <rPr>
        <sz val="11"/>
        <color theme="1"/>
        <rFont val="Calibri"/>
        <family val="2"/>
        <scheme val="minor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</si>
  <si>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  <scheme val="minor"/>
      </rPr>
      <t>TEA</t>
    </r>
    <r>
      <rPr>
        <sz val="11"/>
        <color theme="1"/>
        <rFont val="Calibri"/>
        <family val="2"/>
        <scheme val="minor"/>
      </rPr>
      <t xml:space="preserve"> in one portion</t>
    </r>
  </si>
  <si>
    <r>
      <t xml:space="preserve">Load </t>
    </r>
    <r>
      <rPr>
        <b/>
        <sz val="11"/>
        <color theme="1"/>
        <rFont val="Calibri"/>
        <family val="2"/>
        <scheme val="minor"/>
      </rPr>
      <t>DCM</t>
    </r>
    <r>
      <rPr>
        <sz val="11"/>
        <color theme="1"/>
        <rFont val="Calibri"/>
        <family val="2"/>
        <scheme val="minor"/>
      </rPr>
      <t xml:space="preserve"> to rinse hose and reactor walls.</t>
    </r>
  </si>
  <si>
    <r>
      <t xml:space="preserve">Load </t>
    </r>
    <r>
      <rPr>
        <b/>
        <sz val="11"/>
        <color theme="1"/>
        <rFont val="Calibri"/>
        <family val="2"/>
        <scheme val="minor"/>
      </rPr>
      <t>DMSA-Cl</t>
    </r>
    <r>
      <rPr>
        <sz val="11"/>
        <color theme="1"/>
        <rFont val="Calibri"/>
        <family val="2"/>
        <scheme val="minor"/>
      </rPr>
      <t xml:space="preserve"> into dropping funnel and start dropwise addition, keeping rm in required range.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</si>
  <si>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n-heptane.</t>
    </r>
    <r>
      <rPr>
        <sz val="11"/>
        <color theme="1"/>
        <rFont val="Calibri"/>
        <family val="2"/>
        <scheme val="minor"/>
      </rPr>
      <t xml:space="preserve"> 1st washing</t>
    </r>
  </si>
  <si>
    <r>
      <t xml:space="preserve">Wash FK with req.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>. 2nd washing</t>
    </r>
  </si>
  <si>
    <t>`</t>
  </si>
  <si>
    <t>Isopropanol</t>
  </si>
  <si>
    <r>
      <t xml:space="preserve">Load requred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for quench in one portion.</t>
    </r>
  </si>
  <si>
    <r>
      <t xml:space="preserve">Separate DCM layer and return it into reactor. Load req. amount of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to wash DCM layer 3 times. Split whole amount of water into 3 portions.</t>
    </r>
  </si>
  <si>
    <r>
      <t xml:space="preserve">Load required amount of </t>
    </r>
    <r>
      <rPr>
        <b/>
        <sz val="11"/>
        <color theme="1"/>
        <rFont val="Calibri"/>
        <family val="2"/>
        <scheme val="minor"/>
      </rPr>
      <t>n-heptane</t>
    </r>
    <r>
      <rPr>
        <sz val="11"/>
        <color theme="1"/>
        <rFont val="Calibri"/>
        <family val="2"/>
        <scheme val="minor"/>
      </rPr>
      <t xml:space="preserve"> for precipitation</t>
    </r>
  </si>
  <si>
    <t>waste treatment</t>
  </si>
  <si>
    <t>water waste</t>
  </si>
  <si>
    <t>organic waste</t>
  </si>
  <si>
    <t>solid waste</t>
  </si>
  <si>
    <t>Heating the reaction mixture in 150L reactor</t>
  </si>
  <si>
    <t>reaction in 150L reactor is stirred for 48h</t>
  </si>
  <si>
    <t>Filtering the reaction mixture using vacuum.
 046-7 filter with vacuum. The filter should be closed due to iodoethan.
Load filtrate into 100L reactor</t>
  </si>
  <si>
    <t>Concentrating the filtrate in 100L reactor. Add acetone layer from 150L  reactor into 100L reactor as well.</t>
  </si>
  <si>
    <r>
      <t xml:space="preserve">Adding </t>
    </r>
    <r>
      <rPr>
        <b/>
        <sz val="11"/>
        <color theme="1"/>
        <rFont val="Calibri"/>
        <family val="2"/>
        <scheme val="minor"/>
      </rPr>
      <t>iodoethane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</si>
  <si>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Loading </t>
    </r>
    <r>
      <rPr>
        <b/>
        <sz val="11"/>
        <color theme="1"/>
        <rFont val="Calibri"/>
        <family val="2"/>
        <scheme val="minor"/>
      </rPr>
      <t>acetone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</si>
  <si>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Adding </t>
    </r>
    <r>
      <rPr>
        <b/>
        <sz val="11"/>
        <color theme="1"/>
        <rFont val="Calibri"/>
        <family val="2"/>
        <scheme val="minor"/>
      </rPr>
      <t>potassium carbonate</t>
    </r>
    <r>
      <rPr>
        <sz val="11"/>
        <color theme="1"/>
        <rFont val="Calibri"/>
        <family val="2"/>
        <scheme val="minor"/>
      </rPr>
      <t xml:space="preserve"> into 150L reactor in portions keeping stirring at max to maintain carbonate in susp. Load in portions 1-2kg</t>
    </r>
  </si>
  <si>
    <r>
      <t>Loading</t>
    </r>
    <r>
      <rPr>
        <b/>
        <sz val="11"/>
        <color theme="1"/>
        <rFont val="Calibri"/>
        <family val="2"/>
        <scheme val="minor"/>
      </rPr>
      <t xml:space="preserve"> IP.1</t>
    </r>
    <r>
      <rPr>
        <sz val="11"/>
        <color theme="1"/>
        <rFont val="Calibri"/>
        <family val="2"/>
        <scheme val="minor"/>
      </rPr>
      <t xml:space="preserve"> into 150L reactor</t>
    </r>
  </si>
  <si>
    <r>
      <t xml:space="preserve">Add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 xml:space="preserve"> into reactor to dissolve salt, stir it, wait for completer dilution of salt, stop and let layers to separate.</t>
    </r>
  </si>
  <si>
    <r>
      <t xml:space="preserve">Loading req. amount of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 xml:space="preserve"> for co-evap. Into 100L reactor</t>
    </r>
  </si>
  <si>
    <r>
      <t xml:space="preserve">Triturating crude with </t>
    </r>
    <r>
      <rPr>
        <b/>
        <sz val="11"/>
        <color theme="1"/>
        <rFont val="Calibri"/>
        <family val="2"/>
        <scheme val="minor"/>
      </rPr>
      <t>ethanol</t>
    </r>
    <r>
      <rPr>
        <sz val="11"/>
        <color theme="1"/>
        <rFont val="Calibri"/>
        <family val="2"/>
        <scheme val="minor"/>
      </rPr>
      <t xml:space="preserve"> in 100L reactor</t>
    </r>
  </si>
  <si>
    <t>straight, keeping in mind 50oC delta between the jacket temp. and rm temp</t>
  </si>
  <si>
    <t>300-&gt;120Torr</t>
  </si>
  <si>
    <t>adjust pressure as needed to avoid overflooding the condenser with solvent</t>
  </si>
  <si>
    <t>can contain ethyliodide. Toxic waste label.</t>
  </si>
  <si>
    <t>in one portioin, pump with perist pump</t>
  </si>
  <si>
    <t>longer time is not a problem</t>
  </si>
  <si>
    <t>3-6h (max 6h with IPC waiting time).</t>
  </si>
  <si>
    <t>after cooling we can have a break point</t>
  </si>
  <si>
    <t>conv. &gt;99%</t>
  </si>
  <si>
    <t>continue heating for around 1-2h more and repeat IPC</t>
  </si>
  <si>
    <t>NLT 3h</t>
  </si>
  <si>
    <t>temp. controlled.</t>
  </si>
  <si>
    <t>5…15oC</t>
  </si>
  <si>
    <t xml:space="preserve">Mixing </t>
  </si>
  <si>
    <t>keep stirring in reactor</t>
  </si>
  <si>
    <t>0-4oC</t>
  </si>
  <si>
    <t>20-30min</t>
  </si>
  <si>
    <t>use this amount to rinse the reactor first</t>
  </si>
  <si>
    <t>performe weight check</t>
  </si>
  <si>
    <t>rnd will check temp stability @60oC???</t>
  </si>
  <si>
    <t>5% HCl aqu.; H2O; MeOH</t>
  </si>
  <si>
    <t>120oC -&gt; 15…25oC</t>
  </si>
  <si>
    <t>3L/min -&gt; 0.5L/min</t>
  </si>
  <si>
    <t>Cool the reaction mixture to-5…0°C</t>
  </si>
  <si>
    <t>above 30oC still should be ok. Only safety reasons to hold this range.
Below 0oC - reaction is IPC controlled, should be also fine.</t>
  </si>
  <si>
    <t>Exothermic; keep argon flow constant</t>
  </si>
  <si>
    <t>10-20oC</t>
  </si>
  <si>
    <t>Perform IPC in NLT 2h</t>
  </si>
  <si>
    <t>99% conv.</t>
  </si>
  <si>
    <t>RND - alternatively rise the temp to 40oC and 30min more rtime</t>
  </si>
  <si>
    <r>
      <t xml:space="preserve">Mix the reacton mixture to finalize quench. Keep the </t>
    </r>
    <r>
      <rPr>
        <b/>
        <sz val="11"/>
        <color theme="1"/>
        <rFont val="Calibri"/>
        <family val="2"/>
        <scheme val="minor"/>
      </rPr>
      <t>argon</t>
    </r>
    <r>
      <rPr>
        <sz val="11"/>
        <color theme="1"/>
        <rFont val="Calibri"/>
        <family val="2"/>
        <charset val="186"/>
        <scheme val="minor"/>
      </rPr>
      <t xml:space="preserve"> ON.</t>
    </r>
  </si>
  <si>
    <t>as long as something is dripping in cold trap. Visual observation</t>
  </si>
  <si>
    <t>it should be solution after water added</t>
  </si>
  <si>
    <t>check if needed, add more water during extraction</t>
  </si>
  <si>
    <t>will be enough to extract 3 times with EA - yes</t>
  </si>
  <si>
    <t>layer sep time</t>
  </si>
  <si>
    <t>15-60Torr</t>
  </si>
  <si>
    <t>Foaming solid at the end. Be careful. Observe foaming and adjust pressure</t>
  </si>
  <si>
    <t>in tech batch took around 20-30min to dissolve.</t>
  </si>
  <si>
    <t>to the dryness</t>
  </si>
  <si>
    <t xml:space="preserve">YES </t>
  </si>
  <si>
    <t>fixed amount</t>
  </si>
  <si>
    <t>Remove i-PrOH first time</t>
  </si>
  <si>
    <t>Remove i-PrOH second time</t>
  </si>
  <si>
    <t>cool reaction mixture and can have a break point</t>
  </si>
  <si>
    <r>
      <t>&lt;8 bad yield; &gt;9 purity can be affected; r</t>
    </r>
    <r>
      <rPr>
        <b/>
        <sz val="11"/>
        <color rgb="FFFF0000"/>
        <rFont val="Calibri"/>
        <family val="2"/>
      </rPr>
      <t>ange is potentially critical parameter</t>
    </r>
  </si>
  <si>
    <r>
      <t>very dusty product.</t>
    </r>
    <r>
      <rPr>
        <b/>
        <sz val="11"/>
        <color rgb="FFFF0000"/>
        <rFont val="Calibri"/>
        <family val="2"/>
        <scheme val="minor"/>
      </rPr>
      <t xml:space="preserve"> 4kg per 150L reactor is limiting.</t>
    </r>
  </si>
  <si>
    <t>100L volume - this is probably max scale for 150L glass reactor with propeller blades.
Check if we can reduce amount of k2co3</t>
  </si>
  <si>
    <r>
      <t xml:space="preserve">Load </t>
    </r>
    <r>
      <rPr>
        <b/>
        <sz val="11"/>
        <color theme="1"/>
        <rFont val="Calibri"/>
        <family val="2"/>
      </rPr>
      <t>anhydrous ethanol</t>
    </r>
    <r>
      <rPr>
        <sz val="11"/>
        <color theme="1"/>
        <rFont val="Calibri"/>
        <family val="2"/>
      </rPr>
      <t xml:space="preserve"> into reactor</t>
    </r>
  </si>
  <si>
    <r>
      <t xml:space="preserve">Load </t>
    </r>
    <r>
      <rPr>
        <b/>
        <sz val="11"/>
        <color theme="1"/>
        <rFont val="Calibri"/>
        <family val="2"/>
      </rPr>
      <t>IP3</t>
    </r>
    <r>
      <rPr>
        <sz val="11"/>
        <color theme="1"/>
        <rFont val="Calibri"/>
        <family val="2"/>
      </rPr>
      <t xml:space="preserve"> into reactor</t>
    </r>
  </si>
  <si>
    <r>
      <t xml:space="preserve">Add </t>
    </r>
    <r>
      <rPr>
        <b/>
        <sz val="11"/>
        <color theme="1"/>
        <rFont val="Calibri"/>
        <family val="2"/>
      </rPr>
      <t>NaBH₄</t>
    </r>
    <r>
      <rPr>
        <sz val="11"/>
        <color theme="1"/>
        <rFont val="Calibri"/>
        <family val="2"/>
      </rPr>
      <t xml:space="preserve"> to reactor 1/10 portions</t>
    </r>
  </si>
  <si>
    <r>
      <t xml:space="preserve">Add </t>
    </r>
    <r>
      <rPr>
        <b/>
        <sz val="11"/>
        <color theme="1"/>
        <rFont val="Calibri"/>
        <family val="2"/>
      </rPr>
      <t>6 N HCl in i-PrOH</t>
    </r>
    <r>
      <rPr>
        <sz val="11"/>
        <color theme="1"/>
        <rFont val="Calibri"/>
        <family val="2"/>
      </rPr>
      <t xml:space="preserve"> to crude at RT with stirring</t>
    </r>
  </si>
  <si>
    <r>
      <t xml:space="preserve">Load </t>
    </r>
    <r>
      <rPr>
        <b/>
        <sz val="11"/>
        <color theme="1"/>
        <rFont val="Calibri"/>
        <family val="2"/>
      </rPr>
      <t>iPrOH</t>
    </r>
    <r>
      <rPr>
        <sz val="11"/>
        <color theme="1"/>
        <rFont val="Calibri"/>
        <family val="2"/>
      </rPr>
      <t xml:space="preserve"> for co-evap.</t>
    </r>
  </si>
  <si>
    <r>
      <t xml:space="preserve">Load required amount (1V) of </t>
    </r>
    <r>
      <rPr>
        <b/>
        <sz val="11"/>
        <color theme="1"/>
        <rFont val="Calibri"/>
        <family val="2"/>
      </rPr>
      <t>MSA/H2O</t>
    </r>
    <r>
      <rPr>
        <sz val="11"/>
        <color theme="1"/>
        <rFont val="Calibri"/>
        <family val="2"/>
      </rPr>
      <t xml:space="preserve"> to dissolve product.</t>
    </r>
  </si>
  <si>
    <r>
      <t xml:space="preserve">Heat and dry reactor in Argon flow. Keep </t>
    </r>
    <r>
      <rPr>
        <b/>
        <sz val="11"/>
        <color theme="1"/>
        <rFont val="Calibri"/>
        <family val="2"/>
      </rPr>
      <t>argon</t>
    </r>
    <r>
      <rPr>
        <sz val="11"/>
        <color theme="1"/>
        <rFont val="Calibri"/>
        <family val="2"/>
      </rPr>
      <t xml:space="preserve"> flow constant until RM will be quenched.</t>
    </r>
  </si>
  <si>
    <t>needed</t>
  </si>
  <si>
    <t>we have</t>
  </si>
  <si>
    <r>
      <t xml:space="preserve">Load </t>
    </r>
    <r>
      <rPr>
        <b/>
        <sz val="11"/>
        <color theme="1"/>
        <rFont val="Calibri"/>
        <family val="2"/>
        <scheme val="minor"/>
      </rPr>
      <t>iso-propyl acetate</t>
    </r>
  </si>
  <si>
    <t>need</t>
  </si>
  <si>
    <t>have</t>
  </si>
  <si>
    <t>bottled water</t>
  </si>
  <si>
    <t>NaCl</t>
  </si>
  <si>
    <t>MSA99</t>
  </si>
  <si>
    <t>7387-xx-n6</t>
  </si>
  <si>
    <t>7377-xx-268</t>
  </si>
  <si>
    <t>73-85; 7369-xx-268</t>
  </si>
  <si>
    <t>7368-1/2-52; 7368-2/2-52; 7303-1/1-52; 7267-1/1-52; 7039-1/1-52</t>
  </si>
  <si>
    <t>7266-1/1-Nurk3; 7063-4/4-22; 7176-1/1-Nurk3</t>
  </si>
  <si>
    <t>7252-4/1-53</t>
  </si>
  <si>
    <t>?</t>
  </si>
  <si>
    <t>11.5 + 20</t>
  </si>
  <si>
    <t>2.5+5</t>
  </si>
  <si>
    <t>15+50 (12/12)</t>
  </si>
  <si>
    <t>from buto maro dcm 062</t>
  </si>
  <si>
    <t>from buto TEA006</t>
  </si>
  <si>
    <t>from buto heptane 007; asked for more</t>
  </si>
  <si>
    <t>from buto iPrOH PhEur 004</t>
  </si>
  <si>
    <t>from buto maro acet031</t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</si>
  <si>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1st  wsh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</si>
  <si>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2nd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</si>
  <si>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Water</t>
    </r>
    <r>
      <rPr>
        <sz val="11"/>
        <color theme="1"/>
        <rFont val="Calibri"/>
        <family val="2"/>
        <scheme val="minor"/>
      </rPr>
      <t>. 3rd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</si>
  <si>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1st wash</t>
    </r>
  </si>
  <si>
    <r>
      <t xml:space="preserve">Wash FK with </t>
    </r>
    <r>
      <rPr>
        <b/>
        <sz val="11"/>
        <color theme="1"/>
        <rFont val="Calibri"/>
        <family val="2"/>
        <scheme val="minor"/>
      </rPr>
      <t>EtOH</t>
    </r>
    <r>
      <rPr>
        <sz val="11"/>
        <color theme="1"/>
        <rFont val="Calibri"/>
        <family val="2"/>
        <scheme val="minor"/>
      </rPr>
      <t>, 2nd wash.</t>
    </r>
  </si>
  <si>
    <t>Dry on filter</t>
  </si>
  <si>
    <t>Dry product on filter, use scoop to smash/remove drying cracks that might appear.</t>
  </si>
  <si>
    <t>set to 30Torr</t>
  </si>
  <si>
    <t>4g</t>
  </si>
  <si>
    <t>20g</t>
  </si>
  <si>
    <t>40g</t>
  </si>
  <si>
    <t>for reaction</t>
  </si>
  <si>
    <t>for rinsing r walls</t>
  </si>
  <si>
    <t>for quench</t>
  </si>
  <si>
    <t>Wash FK with req. amount of water on filter. 1st wash</t>
  </si>
  <si>
    <t>Wash FK with req. amount of water on filter. 2nd wash</t>
  </si>
  <si>
    <t>Wash FK with req. amount of water on filter. 3rd wash</t>
  </si>
  <si>
    <t>For 1st FK wash</t>
  </si>
  <si>
    <t>For 2nd FK wash</t>
  </si>
  <si>
    <t>For 3rd FK wash</t>
  </si>
  <si>
    <t>Wash FK with required amount of iPrOH. At room temp. mixed on filter. 1st wash</t>
  </si>
  <si>
    <t>Wash FK with required amount of iPrOH. At room temp. mixed on filter. 2nd wash</t>
  </si>
  <si>
    <t>For  1st FK wash</t>
  </si>
  <si>
    <t>For  2nd FK wash</t>
  </si>
  <si>
    <t>108-21-4</t>
  </si>
  <si>
    <t>For susp. IP.1</t>
  </si>
  <si>
    <t>For reaction</t>
  </si>
  <si>
    <t>For K2CO3 salt</t>
  </si>
  <si>
    <t>For K2CO3 dissolution</t>
  </si>
  <si>
    <t>For co-evap</t>
  </si>
  <si>
    <t>For trituration.</t>
  </si>
  <si>
    <t>Fro reaction</t>
  </si>
  <si>
    <t>For NaOH solution</t>
  </si>
  <si>
    <t>For wash FK</t>
  </si>
  <si>
    <t>For reactor rinse</t>
  </si>
  <si>
    <t xml:space="preserve">For transfer from rotavap </t>
  </si>
  <si>
    <t>For dissolution</t>
  </si>
  <si>
    <t>For brine preparation</t>
  </si>
  <si>
    <t>For quench</t>
  </si>
  <si>
    <t>For MSA</t>
  </si>
  <si>
    <t>TP.5 NOT UPDATED YET</t>
  </si>
  <si>
    <r>
      <t xml:space="preserve">Wash K2CO3 with </t>
    </r>
    <r>
      <rPr>
        <b/>
        <sz val="11"/>
        <color theme="1"/>
        <rFont val="Calibri"/>
        <family val="2"/>
        <scheme val="minor"/>
      </rPr>
      <t>Acetone</t>
    </r>
  </si>
  <si>
    <t>Add EA for extraction. 1st extraction.</t>
  </si>
  <si>
    <t>Add EA for extraction. 2nd extraction.</t>
  </si>
  <si>
    <t>Add EA for extraction. 3rd extraction.</t>
  </si>
  <si>
    <t>For 1st extr.</t>
  </si>
  <si>
    <t>For 2nd extr.</t>
  </si>
  <si>
    <t>For 3rd extr.</t>
  </si>
  <si>
    <t>higher that 4oC - we can have yield problem. 4oC and higher is Critical to yield</t>
  </si>
  <si>
    <t>For 8M NaOH solution</t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</si>
  <si>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1st wash</t>
    </r>
  </si>
  <si>
    <r>
      <t xml:space="preserve">FK is washed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on the filter. 2nd wash</t>
    </r>
  </si>
  <si>
    <t>75-80oC</t>
  </si>
  <si>
    <t>straight, keeping in mind 50°C delta between the jacket temp. and rm temp</t>
  </si>
  <si>
    <t>Adjust the temp of the rm to required temp.</t>
  </si>
  <si>
    <t xml:space="preserve"> -5…0oC</t>
  </si>
  <si>
    <t>100-120</t>
  </si>
  <si>
    <t>input-&gt;process</t>
  </si>
  <si>
    <t>process-&gt;output</t>
  </si>
  <si>
    <t>input-&gt;process-&gt;output</t>
  </si>
  <si>
    <t>Analyzing, correspond to QDQS</t>
  </si>
  <si>
    <t>Continue next tp</t>
  </si>
  <si>
    <t>repeat n-heptane washing in reactor and then filter out</t>
  </si>
  <si>
    <t>repeat EtOH anh washing in reactor and filtraion.</t>
  </si>
  <si>
    <t>recryst with IPA will be tested on pre-val</t>
  </si>
  <si>
    <t>Analyzing, corresponds to QDQS</t>
  </si>
  <si>
    <t>Recryst. With iPrOH.</t>
  </si>
  <si>
    <t>Argon flush</t>
  </si>
  <si>
    <r>
      <t xml:space="preserve">Monitor pressure; replenish H₂ as necessary;
we can try 15 bars in large scale
</t>
    </r>
    <r>
      <rPr>
        <sz val="11"/>
        <color rgb="FFFF0000"/>
        <rFont val="Calibri"/>
        <family val="2"/>
      </rPr>
      <t>IF we open reactor we need to add catalyst.</t>
    </r>
  </si>
  <si>
    <t>Add fresh catalyst, and continue for 12-24h</t>
  </si>
  <si>
    <t>product crystalized almost immediately after opening the h2 reactor. Suggestions - add more hot water (depends how much of head space we have). OR unload manually from 5l hydrogenator??? Add water into hot reactor???</t>
  </si>
  <si>
    <t>As low as possible (5 .. 10 °C)</t>
  </si>
  <si>
    <t>Maxim checked</t>
  </si>
  <si>
    <t>during pre-val check lowest temp of precipitation</t>
  </si>
  <si>
    <t>Maybe Maksim can check solub at rt?</t>
  </si>
  <si>
    <t>product is very dusty. Handle in full gas mask!!!</t>
  </si>
  <si>
    <t>water, MeOH, Acetone</t>
  </si>
  <si>
    <t>re-crystalize from IPA, in 5-6V</t>
  </si>
  <si>
    <t>tp</t>
  </si>
  <si>
    <t>for pre-val, doing in 5L hydrogenator in subbaches. Keep first sub batch here in reactor @2-8oC and wait for 2nd portion</t>
  </si>
  <si>
    <t>repeat subbatches.</t>
  </si>
  <si>
    <t>for overnight stirring can be lowered to 50-100rpm. Keeping @5-10oC</t>
  </si>
  <si>
    <r>
      <t xml:space="preserve">Wash filter cake with </t>
    </r>
    <r>
      <rPr>
        <b/>
        <sz val="11"/>
        <color theme="1"/>
        <rFont val="Calibri"/>
        <family val="2"/>
      </rPr>
      <t>water</t>
    </r>
    <r>
      <rPr>
        <sz val="11"/>
        <color theme="1"/>
        <rFont val="Calibri"/>
        <family val="2"/>
      </rPr>
      <t xml:space="preserve"> 3 times.</t>
    </r>
  </si>
  <si>
    <t>Wash on filter with cold iPrOH</t>
  </si>
  <si>
    <t>2-8oC</t>
  </si>
  <si>
    <t>dry on filter</t>
  </si>
  <si>
    <r>
      <t xml:space="preserve">Load </t>
    </r>
    <r>
      <rPr>
        <b/>
        <sz val="11"/>
        <color theme="1"/>
        <rFont val="Calibri"/>
        <family val="2"/>
      </rPr>
      <t>IP.5 base</t>
    </r>
    <r>
      <rPr>
        <sz val="11"/>
        <color theme="1"/>
        <rFont val="Calibri"/>
        <family val="2"/>
      </rPr>
      <t xml:space="preserve"> (wet paste)</t>
    </r>
  </si>
  <si>
    <t>15-60oC</t>
  </si>
  <si>
    <t>temp is not critical during addition of hcl</t>
  </si>
  <si>
    <t>product is partially hygroscopic, but should be fine with drying on filter between washes</t>
  </si>
  <si>
    <t>take an IPC, measure RelS and decide do we need do re-crystalization or no. Also this imp. can be "identified"</t>
  </si>
  <si>
    <t>NUTSCH FILTER</t>
  </si>
  <si>
    <t>DRYING OVEN</t>
  </si>
  <si>
    <t>loading-Solid</t>
  </si>
  <si>
    <t>loading-liquid &lt;5L</t>
  </si>
  <si>
    <t>loading-liquid &gt;5L</t>
  </si>
  <si>
    <r>
      <t>15-25</t>
    </r>
    <r>
      <rPr>
        <sz val="11"/>
        <color theme="1"/>
        <rFont val="Aptos Narrow"/>
        <family val="2"/>
      </rPr>
      <t>°</t>
    </r>
    <r>
      <rPr>
        <sz val="11"/>
        <color theme="1"/>
        <rFont val="Calibri"/>
        <family val="2"/>
        <scheme val="minor"/>
      </rPr>
      <t>C</t>
    </r>
  </si>
  <si>
    <t>15-25o°C</t>
  </si>
  <si>
    <t>15-25°C</t>
  </si>
  <si>
    <t>65°C</t>
  </si>
  <si>
    <t>reflux (55°C).</t>
  </si>
  <si>
    <t>30-50°C</t>
  </si>
  <si>
    <t>30-40°C</t>
  </si>
  <si>
    <t xml:space="preserve"> -10…10°C</t>
  </si>
  <si>
    <t>10-15°C</t>
  </si>
  <si>
    <t>10°C</t>
  </si>
  <si>
    <t>40°C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</si>
</sst>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"/>
    <numFmt numFmtId="166" formatCode="0.0000"/>
    <numFmt numFmtId="167" formatCode="0.000000"/>
    <numFmt numFmtId="168" formatCode="[h]:mm"/>
  </numFmts>
  <fonts count="64" x14ac:knownFonts="1">
    <font>
      <sz val="11"/>
      <color theme="1"/>
      <name val="Calibri"/>
      <family val="2"/>
      <charset val="186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sz val="18"/>
      <color theme="3"/>
      <name val="Calibri Light"/>
      <family val="2"/>
      <charset val="186"/>
      <scheme val="major"/>
    </font>
    <font>
      <b/>
      <sz val="15"/>
      <color theme="3"/>
      <name val="Calibri"/>
      <family val="2"/>
      <charset val="186"/>
      <scheme val="minor"/>
    </font>
    <font>
      <b/>
      <sz val="13"/>
      <color theme="3"/>
      <name val="Calibri"/>
      <family val="2"/>
      <charset val="186"/>
      <scheme val="minor"/>
    </font>
    <font>
      <b/>
      <sz val="11"/>
      <color theme="3"/>
      <name val="Calibri"/>
      <family val="2"/>
      <charset val="186"/>
      <scheme val="minor"/>
    </font>
    <font>
      <sz val="11"/>
      <color rgb="FF006100"/>
      <name val="Calibri"/>
      <family val="2"/>
      <charset val="186"/>
      <scheme val="minor"/>
    </font>
    <font>
      <sz val="11"/>
      <color rgb="FF9C0006"/>
      <name val="Calibri"/>
      <family val="2"/>
      <charset val="186"/>
      <scheme val="minor"/>
    </font>
    <font>
      <sz val="11"/>
      <color rgb="FF9C5700"/>
      <name val="Calibri"/>
      <family val="2"/>
      <charset val="186"/>
      <scheme val="minor"/>
    </font>
    <font>
      <sz val="11"/>
      <color rgb="FF3F3F76"/>
      <name val="Calibri"/>
      <family val="2"/>
      <charset val="186"/>
      <scheme val="minor"/>
    </font>
    <font>
      <b/>
      <sz val="11"/>
      <color rgb="FF3F3F3F"/>
      <name val="Calibri"/>
      <family val="2"/>
      <charset val="186"/>
      <scheme val="minor"/>
    </font>
    <font>
      <b/>
      <sz val="11"/>
      <color rgb="FFFA7D00"/>
      <name val="Calibri"/>
      <family val="2"/>
      <charset val="186"/>
      <scheme val="minor"/>
    </font>
    <font>
      <sz val="11"/>
      <color rgb="FFFA7D00"/>
      <name val="Calibri"/>
      <family val="2"/>
      <charset val="186"/>
      <scheme val="minor"/>
    </font>
    <font>
      <b/>
      <sz val="11"/>
      <color theme="0"/>
      <name val="Calibri"/>
      <family val="2"/>
      <charset val="186"/>
      <scheme val="minor"/>
    </font>
    <font>
      <sz val="11"/>
      <color rgb="FFFF0000"/>
      <name val="Calibri"/>
      <family val="2"/>
      <charset val="186"/>
      <scheme val="minor"/>
    </font>
    <font>
      <i/>
      <sz val="11"/>
      <color rgb="FF7F7F7F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sz val="11"/>
      <color theme="0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charset val="186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</font>
    <font>
      <sz val="11"/>
      <color theme="1"/>
      <name val="Calibri"/>
      <family val="2"/>
    </font>
    <font>
      <sz val="10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FF0000"/>
      <name val="Calibri"/>
      <family val="2"/>
      <charset val="186"/>
      <scheme val="minor"/>
    </font>
    <font>
      <sz val="11"/>
      <color theme="1"/>
      <name val="Aptos Narrow"/>
      <family val="2"/>
    </font>
  </fonts>
  <fills count="6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6E0B4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/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indexed="64"/>
      </bottom>
      <diagonal/>
    </border>
    <border>
      <left/>
      <right/>
      <top style="thin">
        <color theme="0" tint="-0.499984740745262"/>
      </top>
      <bottom style="medium">
        <color indexed="64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3">
    <xf numFmtId="0" fontId="0" fillId="0" borderId="0"/>
    <xf numFmtId="0" fontId="17" fillId="0" borderId="0" applyNumberFormat="0" applyFill="0" applyBorder="0" applyAlignment="0" applyProtection="0"/>
    <xf numFmtId="0" fontId="18" fillId="0" borderId="1" applyNumberFormat="0" applyFill="0" applyAlignment="0" applyProtection="0"/>
    <xf numFmtId="0" fontId="19" fillId="0" borderId="2" applyNumberFormat="0" applyFill="0" applyAlignment="0" applyProtection="0"/>
    <xf numFmtId="0" fontId="20" fillId="0" borderId="3" applyNumberFormat="0" applyFill="0" applyAlignment="0" applyProtection="0"/>
    <xf numFmtId="0" fontId="20" fillId="0" borderId="0" applyNumberFormat="0" applyFill="0" applyBorder="0" applyAlignment="0" applyProtection="0"/>
    <xf numFmtId="0" fontId="21" fillId="2" borderId="0" applyNumberFormat="0" applyBorder="0" applyAlignment="0" applyProtection="0"/>
    <xf numFmtId="0" fontId="22" fillId="3" borderId="0" applyNumberFormat="0" applyBorder="0" applyAlignment="0" applyProtection="0"/>
    <xf numFmtId="0" fontId="23" fillId="4" borderId="0" applyNumberFormat="0" applyBorder="0" applyAlignment="0" applyProtection="0"/>
    <xf numFmtId="0" fontId="24" fillId="5" borderId="4" applyNumberFormat="0" applyAlignment="0" applyProtection="0"/>
    <xf numFmtId="0" fontId="25" fillId="6" borderId="5" applyNumberFormat="0" applyAlignment="0" applyProtection="0"/>
    <xf numFmtId="0" fontId="26" fillId="6" borderId="4" applyNumberFormat="0" applyAlignment="0" applyProtection="0"/>
    <xf numFmtId="0" fontId="27" fillId="0" borderId="6" applyNumberFormat="0" applyFill="0" applyAlignment="0" applyProtection="0"/>
    <xf numFmtId="0" fontId="28" fillId="7" borderId="7" applyNumberFormat="0" applyAlignment="0" applyProtection="0"/>
    <xf numFmtId="0" fontId="29" fillId="0" borderId="0" applyNumberFormat="0" applyFill="0" applyBorder="0" applyAlignment="0" applyProtection="0"/>
    <xf numFmtId="0" fontId="16" fillId="8" borderId="8" applyNumberFormat="0" applyFon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9" borderId="0" applyNumberFormat="0" applyBorder="0" applyAlignment="0" applyProtection="0"/>
    <xf numFmtId="0" fontId="16" fillId="10" borderId="0" applyNumberFormat="0" applyBorder="0" applyAlignment="0" applyProtection="0"/>
    <xf numFmtId="0" fontId="16" fillId="11" borderId="0" applyNumberFormat="0" applyBorder="0" applyAlignment="0" applyProtection="0"/>
    <xf numFmtId="0" fontId="16" fillId="12" borderId="0" applyNumberFormat="0" applyBorder="0" applyAlignment="0" applyProtection="0"/>
    <xf numFmtId="0" fontId="32" fillId="13" borderId="0" applyNumberFormat="0" applyBorder="0" applyAlignment="0" applyProtection="0"/>
    <xf numFmtId="0" fontId="16" fillId="14" borderId="0" applyNumberFormat="0" applyBorder="0" applyAlignment="0" applyProtection="0"/>
    <xf numFmtId="0" fontId="16" fillId="15" borderId="0" applyNumberFormat="0" applyBorder="0" applyAlignment="0" applyProtection="0"/>
    <xf numFmtId="0" fontId="16" fillId="16" borderId="0" applyNumberFormat="0" applyBorder="0" applyAlignment="0" applyProtection="0"/>
    <xf numFmtId="0" fontId="32" fillId="17" borderId="0" applyNumberFormat="0" applyBorder="0" applyAlignment="0" applyProtection="0"/>
    <xf numFmtId="0" fontId="16" fillId="18" borderId="0" applyNumberFormat="0" applyBorder="0" applyAlignment="0" applyProtection="0"/>
    <xf numFmtId="0" fontId="16" fillId="19" borderId="0" applyNumberFormat="0" applyBorder="0" applyAlignment="0" applyProtection="0"/>
    <xf numFmtId="0" fontId="16" fillId="20" borderId="0" applyNumberFormat="0" applyBorder="0" applyAlignment="0" applyProtection="0"/>
    <xf numFmtId="0" fontId="32" fillId="21" borderId="0" applyNumberFormat="0" applyBorder="0" applyAlignment="0" applyProtection="0"/>
    <xf numFmtId="0" fontId="16" fillId="22" borderId="0" applyNumberFormat="0" applyBorder="0" applyAlignment="0" applyProtection="0"/>
    <xf numFmtId="0" fontId="16" fillId="23" borderId="0" applyNumberFormat="0" applyBorder="0" applyAlignment="0" applyProtection="0"/>
    <xf numFmtId="0" fontId="16" fillId="24" borderId="0" applyNumberFormat="0" applyBorder="0" applyAlignment="0" applyProtection="0"/>
    <xf numFmtId="0" fontId="32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8" borderId="0" applyNumberFormat="0" applyBorder="0" applyAlignment="0" applyProtection="0"/>
    <xf numFmtId="0" fontId="32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2" borderId="0" applyNumberFormat="0" applyBorder="0" applyAlignment="0" applyProtection="0"/>
    <xf numFmtId="0" fontId="15" fillId="0" borderId="0"/>
  </cellStyleXfs>
  <cellXfs count="319">
    <xf numFmtId="0" fontId="0" fillId="0" borderId="0" xfId="0"/>
    <xf numFmtId="2" fontId="0" fillId="0" borderId="0" xfId="0" applyNumberFormat="1"/>
    <xf numFmtId="0" fontId="29" fillId="33" borderId="0" xfId="0" applyFont="1" applyFill="1"/>
    <xf numFmtId="0" fontId="33" fillId="0" borderId="0" xfId="0" applyFont="1"/>
    <xf numFmtId="49" fontId="0" fillId="0" borderId="0" xfId="0" applyNumberFormat="1"/>
    <xf numFmtId="0" fontId="0" fillId="37" borderId="0" xfId="0" applyFill="1"/>
    <xf numFmtId="2" fontId="29" fillId="37" borderId="0" xfId="0" applyNumberFormat="1" applyFont="1" applyFill="1"/>
    <xf numFmtId="2" fontId="0" fillId="37" borderId="0" xfId="0" applyNumberFormat="1" applyFill="1"/>
    <xf numFmtId="0" fontId="0" fillId="0" borderId="0" xfId="0" quotePrefix="1"/>
    <xf numFmtId="0" fontId="0" fillId="0" borderId="0" xfId="0" applyAlignment="1">
      <alignment wrapText="1"/>
    </xf>
    <xf numFmtId="0" fontId="29" fillId="33" borderId="0" xfId="0" applyFont="1" applyFill="1" applyAlignment="1">
      <alignment wrapText="1"/>
    </xf>
    <xf numFmtId="0" fontId="34" fillId="0" borderId="0" xfId="0" applyFont="1" applyAlignment="1">
      <alignment wrapText="1"/>
    </xf>
    <xf numFmtId="0" fontId="35" fillId="0" borderId="0" xfId="0" applyFont="1"/>
    <xf numFmtId="0" fontId="36" fillId="0" borderId="0" xfId="0" applyFont="1"/>
    <xf numFmtId="2" fontId="36" fillId="37" borderId="0" xfId="0" applyNumberFormat="1" applyFont="1" applyFill="1"/>
    <xf numFmtId="165" fontId="36" fillId="37" borderId="0" xfId="0" applyNumberFormat="1" applyFont="1" applyFill="1"/>
    <xf numFmtId="49" fontId="0" fillId="37" borderId="0" xfId="0" applyNumberFormat="1" applyFill="1"/>
    <xf numFmtId="0" fontId="36" fillId="0" borderId="0" xfId="0" applyFont="1" applyAlignment="1">
      <alignment horizontal="justify" vertical="center"/>
    </xf>
    <xf numFmtId="0" fontId="0" fillId="0" borderId="10" xfId="0" applyBorder="1"/>
    <xf numFmtId="2" fontId="0" fillId="37" borderId="10" xfId="0" applyNumberFormat="1" applyFill="1" applyBorder="1"/>
    <xf numFmtId="0" fontId="33" fillId="38" borderId="0" xfId="0" applyFont="1" applyFill="1"/>
    <xf numFmtId="0" fontId="38" fillId="0" borderId="0" xfId="0" applyFont="1"/>
    <xf numFmtId="0" fontId="39" fillId="38" borderId="0" xfId="0" applyFont="1" applyFill="1" applyAlignment="1">
      <alignment wrapText="1"/>
    </xf>
    <xf numFmtId="49" fontId="39" fillId="38" borderId="0" xfId="0" applyNumberFormat="1" applyFont="1" applyFill="1" applyAlignment="1">
      <alignment wrapText="1"/>
    </xf>
    <xf numFmtId="49" fontId="39" fillId="38" borderId="0" xfId="0" applyNumberFormat="1" applyFont="1" applyFill="1"/>
    <xf numFmtId="0" fontId="39" fillId="43" borderId="0" xfId="0" applyFont="1" applyFill="1" applyAlignment="1">
      <alignment wrapText="1"/>
    </xf>
    <xf numFmtId="0" fontId="39" fillId="39" borderId="0" xfId="0" applyFont="1" applyFill="1" applyAlignment="1">
      <alignment wrapText="1"/>
    </xf>
    <xf numFmtId="0" fontId="39" fillId="40" borderId="0" xfId="0" applyFont="1" applyFill="1" applyAlignment="1">
      <alignment wrapText="1"/>
    </xf>
    <xf numFmtId="2" fontId="39" fillId="40" borderId="0" xfId="0" applyNumberFormat="1" applyFont="1" applyFill="1" applyAlignment="1">
      <alignment wrapText="1"/>
    </xf>
    <xf numFmtId="0" fontId="39" fillId="41" borderId="0" xfId="0" applyFont="1" applyFill="1"/>
    <xf numFmtId="0" fontId="39" fillId="0" borderId="0" xfId="0" applyFont="1"/>
    <xf numFmtId="2" fontId="39" fillId="33" borderId="0" xfId="0" applyNumberFormat="1" applyFont="1" applyFill="1"/>
    <xf numFmtId="2" fontId="39" fillId="0" borderId="0" xfId="0" applyNumberFormat="1" applyFont="1"/>
    <xf numFmtId="0" fontId="0" fillId="0" borderId="14" xfId="0" applyBorder="1"/>
    <xf numFmtId="0" fontId="0" fillId="0" borderId="15" xfId="0" applyBorder="1"/>
    <xf numFmtId="0" fontId="0" fillId="42" borderId="17" xfId="0" applyFill="1" applyBorder="1"/>
    <xf numFmtId="2" fontId="0" fillId="42" borderId="17" xfId="0" applyNumberFormat="1" applyFill="1" applyBorder="1"/>
    <xf numFmtId="0" fontId="0" fillId="42" borderId="17" xfId="0" applyFill="1" applyBorder="1" applyAlignment="1">
      <alignment wrapText="1"/>
    </xf>
    <xf numFmtId="0" fontId="0" fillId="41" borderId="18" xfId="0" applyFill="1" applyBorder="1"/>
    <xf numFmtId="0" fontId="40" fillId="45" borderId="16" xfId="0" applyFont="1" applyFill="1" applyBorder="1"/>
    <xf numFmtId="0" fontId="40" fillId="38" borderId="18" xfId="0" applyFont="1" applyFill="1" applyBorder="1" applyAlignment="1">
      <alignment wrapText="1"/>
    </xf>
    <xf numFmtId="0" fontId="40" fillId="38" borderId="17" xfId="0" applyFont="1" applyFill="1" applyBorder="1"/>
    <xf numFmtId="0" fontId="40" fillId="40" borderId="17" xfId="0" applyFont="1" applyFill="1" applyBorder="1"/>
    <xf numFmtId="0" fontId="41" fillId="44" borderId="0" xfId="0" applyFont="1" applyFill="1"/>
    <xf numFmtId="0" fontId="41" fillId="39" borderId="0" xfId="0" applyFont="1" applyFill="1" applyAlignment="1">
      <alignment wrapText="1"/>
    </xf>
    <xf numFmtId="49" fontId="41" fillId="44" borderId="0" xfId="0" applyNumberFormat="1" applyFont="1" applyFill="1" applyAlignment="1">
      <alignment wrapText="1"/>
    </xf>
    <xf numFmtId="0" fontId="39" fillId="45" borderId="12" xfId="0" applyFont="1" applyFill="1" applyBorder="1" applyAlignment="1">
      <alignment wrapText="1"/>
    </xf>
    <xf numFmtId="0" fontId="39" fillId="46" borderId="12" xfId="0" applyFont="1" applyFill="1" applyBorder="1" applyAlignment="1">
      <alignment wrapText="1"/>
    </xf>
    <xf numFmtId="166" fontId="39" fillId="40" borderId="11" xfId="0" applyNumberFormat="1" applyFont="1" applyFill="1" applyBorder="1" applyAlignment="1">
      <alignment wrapText="1"/>
    </xf>
    <xf numFmtId="166" fontId="0" fillId="0" borderId="0" xfId="0" applyNumberFormat="1"/>
    <xf numFmtId="166" fontId="39" fillId="45" borderId="11" xfId="0" applyNumberFormat="1" applyFont="1" applyFill="1" applyBorder="1" applyAlignment="1">
      <alignment wrapText="1"/>
    </xf>
    <xf numFmtId="166" fontId="39" fillId="46" borderId="11" xfId="0" applyNumberFormat="1" applyFont="1" applyFill="1" applyBorder="1" applyAlignment="1">
      <alignment wrapText="1"/>
    </xf>
    <xf numFmtId="49" fontId="39" fillId="47" borderId="0" xfId="0" applyNumberFormat="1" applyFont="1" applyFill="1" applyAlignment="1">
      <alignment wrapText="1"/>
    </xf>
    <xf numFmtId="0" fontId="39" fillId="40" borderId="12" xfId="0" applyFont="1" applyFill="1" applyBorder="1" applyAlignment="1">
      <alignment wrapText="1"/>
    </xf>
    <xf numFmtId="0" fontId="39" fillId="40" borderId="13" xfId="0" applyFont="1" applyFill="1" applyBorder="1" applyAlignment="1">
      <alignment wrapText="1"/>
    </xf>
    <xf numFmtId="167" fontId="39" fillId="47" borderId="0" xfId="0" applyNumberFormat="1" applyFont="1" applyFill="1" applyAlignment="1">
      <alignment wrapText="1"/>
    </xf>
    <xf numFmtId="167" fontId="0" fillId="0" borderId="0" xfId="0" applyNumberFormat="1"/>
    <xf numFmtId="167" fontId="39" fillId="40" borderId="0" xfId="0" applyNumberFormat="1" applyFont="1" applyFill="1" applyAlignment="1">
      <alignment wrapText="1"/>
    </xf>
    <xf numFmtId="2" fontId="39" fillId="40" borderId="12" xfId="0" applyNumberFormat="1" applyFont="1" applyFill="1" applyBorder="1" applyAlignment="1">
      <alignment wrapText="1"/>
    </xf>
    <xf numFmtId="0" fontId="0" fillId="0" borderId="19" xfId="0" applyBorder="1"/>
    <xf numFmtId="0" fontId="0" fillId="48" borderId="19" xfId="0" applyFill="1" applyBorder="1"/>
    <xf numFmtId="0" fontId="0" fillId="0" borderId="20" xfId="0" applyBorder="1"/>
    <xf numFmtId="0" fontId="0" fillId="48" borderId="20" xfId="0" applyFill="1" applyBorder="1"/>
    <xf numFmtId="0" fontId="0" fillId="48" borderId="21" xfId="0" applyFill="1" applyBorder="1"/>
    <xf numFmtId="0" fontId="0" fillId="0" borderId="21" xfId="0" applyBorder="1"/>
    <xf numFmtId="0" fontId="40" fillId="33" borderId="17" xfId="0" applyFont="1" applyFill="1" applyBorder="1"/>
    <xf numFmtId="0" fontId="40" fillId="38" borderId="17" xfId="0" applyFont="1" applyFill="1" applyBorder="1" applyAlignment="1">
      <alignment wrapText="1"/>
    </xf>
    <xf numFmtId="0" fontId="40" fillId="40" borderId="17" xfId="0" applyFont="1" applyFill="1" applyBorder="1" applyAlignment="1">
      <alignment wrapText="1"/>
    </xf>
    <xf numFmtId="0" fontId="33" fillId="0" borderId="0" xfId="0" applyFont="1" applyAlignment="1">
      <alignment wrapText="1"/>
    </xf>
    <xf numFmtId="0" fontId="32" fillId="0" borderId="14" xfId="0" applyFont="1" applyBorder="1"/>
    <xf numFmtId="0" fontId="40" fillId="41" borderId="22" xfId="0" applyFont="1" applyFill="1" applyBorder="1" applyAlignment="1">
      <alignment wrapText="1"/>
    </xf>
    <xf numFmtId="0" fontId="33" fillId="41" borderId="15" xfId="0" applyFont="1" applyFill="1" applyBorder="1" applyAlignment="1">
      <alignment wrapText="1"/>
    </xf>
    <xf numFmtId="0" fontId="33" fillId="41" borderId="14" xfId="0" applyFont="1" applyFill="1" applyBorder="1" applyAlignment="1">
      <alignment wrapText="1"/>
    </xf>
    <xf numFmtId="0" fontId="39" fillId="46" borderId="11" xfId="0" applyFont="1" applyFill="1" applyBorder="1" applyAlignment="1">
      <alignment wrapText="1"/>
    </xf>
    <xf numFmtId="0" fontId="39" fillId="46" borderId="13" xfId="0" applyFont="1" applyFill="1" applyBorder="1" applyAlignment="1">
      <alignment wrapText="1"/>
    </xf>
    <xf numFmtId="0" fontId="39" fillId="45" borderId="13" xfId="0" applyFont="1" applyFill="1" applyBorder="1" applyAlignment="1">
      <alignment wrapText="1"/>
    </xf>
    <xf numFmtId="0" fontId="33" fillId="49" borderId="14" xfId="0" applyFont="1" applyFill="1" applyBorder="1"/>
    <xf numFmtId="0" fontId="0" fillId="37" borderId="19" xfId="0" applyFill="1" applyBorder="1"/>
    <xf numFmtId="2" fontId="29" fillId="37" borderId="19" xfId="0" applyNumberFormat="1" applyFont="1" applyFill="1" applyBorder="1"/>
    <xf numFmtId="167" fontId="29" fillId="37" borderId="19" xfId="0" applyNumberFormat="1" applyFont="1" applyFill="1" applyBorder="1"/>
    <xf numFmtId="167" fontId="39" fillId="48" borderId="19" xfId="0" applyNumberFormat="1" applyFont="1" applyFill="1" applyBorder="1"/>
    <xf numFmtId="2" fontId="39" fillId="33" borderId="19" xfId="0" applyNumberFormat="1" applyFont="1" applyFill="1" applyBorder="1"/>
    <xf numFmtId="166" fontId="39" fillId="48" borderId="19" xfId="0" applyNumberFormat="1" applyFont="1" applyFill="1" applyBorder="1"/>
    <xf numFmtId="2" fontId="39" fillId="48" borderId="19" xfId="0" applyNumberFormat="1" applyFont="1" applyFill="1" applyBorder="1"/>
    <xf numFmtId="166" fontId="39" fillId="33" borderId="19" xfId="0" applyNumberFormat="1" applyFont="1" applyFill="1" applyBorder="1"/>
    <xf numFmtId="0" fontId="29" fillId="33" borderId="19" xfId="0" applyFont="1" applyFill="1" applyBorder="1"/>
    <xf numFmtId="2" fontId="0" fillId="37" borderId="19" xfId="0" applyNumberFormat="1" applyFill="1" applyBorder="1"/>
    <xf numFmtId="0" fontId="43" fillId="43" borderId="20" xfId="0" applyFont="1" applyFill="1" applyBorder="1" applyAlignment="1">
      <alignment wrapText="1"/>
    </xf>
    <xf numFmtId="0" fontId="43" fillId="43" borderId="19" xfId="0" applyFont="1" applyFill="1" applyBorder="1" applyAlignment="1">
      <alignment wrapText="1"/>
    </xf>
    <xf numFmtId="0" fontId="43" fillId="39" borderId="19" xfId="0" applyFont="1" applyFill="1" applyBorder="1" applyAlignment="1">
      <alignment wrapText="1"/>
    </xf>
    <xf numFmtId="0" fontId="43" fillId="38" borderId="19" xfId="0" applyFont="1" applyFill="1" applyBorder="1" applyAlignment="1">
      <alignment wrapText="1"/>
    </xf>
    <xf numFmtId="49" fontId="43" fillId="38" borderId="19" xfId="0" applyNumberFormat="1" applyFont="1" applyFill="1" applyBorder="1" applyAlignment="1">
      <alignment wrapText="1"/>
    </xf>
    <xf numFmtId="49" fontId="43" fillId="38" borderId="19" xfId="0" applyNumberFormat="1" applyFont="1" applyFill="1" applyBorder="1"/>
    <xf numFmtId="49" fontId="43" fillId="47" borderId="19" xfId="0" applyNumberFormat="1" applyFont="1" applyFill="1" applyBorder="1" applyAlignment="1">
      <alignment wrapText="1"/>
    </xf>
    <xf numFmtId="167" fontId="43" fillId="47" borderId="19" xfId="0" applyNumberFormat="1" applyFont="1" applyFill="1" applyBorder="1" applyAlignment="1">
      <alignment wrapText="1"/>
    </xf>
    <xf numFmtId="167" fontId="43" fillId="40" borderId="19" xfId="0" applyNumberFormat="1" applyFont="1" applyFill="1" applyBorder="1" applyAlignment="1">
      <alignment wrapText="1"/>
    </xf>
    <xf numFmtId="2" fontId="43" fillId="40" borderId="19" xfId="0" applyNumberFormat="1" applyFont="1" applyFill="1" applyBorder="1" applyAlignment="1">
      <alignment wrapText="1"/>
    </xf>
    <xf numFmtId="166" fontId="43" fillId="40" borderId="11" xfId="0" applyNumberFormat="1" applyFont="1" applyFill="1" applyBorder="1" applyAlignment="1">
      <alignment wrapText="1"/>
    </xf>
    <xf numFmtId="0" fontId="43" fillId="40" borderId="12" xfId="0" applyFont="1" applyFill="1" applyBorder="1" applyAlignment="1">
      <alignment wrapText="1"/>
    </xf>
    <xf numFmtId="0" fontId="43" fillId="40" borderId="13" xfId="0" applyFont="1" applyFill="1" applyBorder="1" applyAlignment="1">
      <alignment wrapText="1"/>
    </xf>
    <xf numFmtId="2" fontId="43" fillId="40" borderId="12" xfId="0" applyNumberFormat="1" applyFont="1" applyFill="1" applyBorder="1" applyAlignment="1">
      <alignment wrapText="1"/>
    </xf>
    <xf numFmtId="0" fontId="43" fillId="45" borderId="12" xfId="0" applyFont="1" applyFill="1" applyBorder="1" applyAlignment="1">
      <alignment wrapText="1"/>
    </xf>
    <xf numFmtId="166" fontId="43" fillId="45" borderId="11" xfId="0" applyNumberFormat="1" applyFont="1" applyFill="1" applyBorder="1" applyAlignment="1">
      <alignment wrapText="1"/>
    </xf>
    <xf numFmtId="0" fontId="43" fillId="45" borderId="13" xfId="0" applyFont="1" applyFill="1" applyBorder="1" applyAlignment="1">
      <alignment wrapText="1"/>
    </xf>
    <xf numFmtId="0" fontId="43" fillId="46" borderId="12" xfId="0" applyFont="1" applyFill="1" applyBorder="1" applyAlignment="1">
      <alignment wrapText="1"/>
    </xf>
    <xf numFmtId="166" fontId="43" fillId="46" borderId="11" xfId="0" applyNumberFormat="1" applyFont="1" applyFill="1" applyBorder="1" applyAlignment="1">
      <alignment wrapText="1"/>
    </xf>
    <xf numFmtId="0" fontId="43" fillId="46" borderId="11" xfId="0" applyFont="1" applyFill="1" applyBorder="1" applyAlignment="1">
      <alignment wrapText="1"/>
    </xf>
    <xf numFmtId="0" fontId="43" fillId="46" borderId="13" xfId="0" applyFont="1" applyFill="1" applyBorder="1" applyAlignment="1">
      <alignment wrapText="1"/>
    </xf>
    <xf numFmtId="0" fontId="43" fillId="41" borderId="19" xfId="0" applyFont="1" applyFill="1" applyBorder="1"/>
    <xf numFmtId="0" fontId="43" fillId="40" borderId="19" xfId="0" applyFont="1" applyFill="1" applyBorder="1" applyAlignment="1">
      <alignment wrapText="1"/>
    </xf>
    <xf numFmtId="0" fontId="43" fillId="40" borderId="21" xfId="0" applyFont="1" applyFill="1" applyBorder="1" applyAlignment="1">
      <alignment wrapText="1"/>
    </xf>
    <xf numFmtId="0" fontId="29" fillId="33" borderId="20" xfId="0" applyFont="1" applyFill="1" applyBorder="1"/>
    <xf numFmtId="0" fontId="29" fillId="37" borderId="19" xfId="0" applyFont="1" applyFill="1" applyBorder="1"/>
    <xf numFmtId="164" fontId="0" fillId="37" borderId="19" xfId="0" applyNumberFormat="1" applyFill="1" applyBorder="1"/>
    <xf numFmtId="0" fontId="33" fillId="48" borderId="19" xfId="0" applyFont="1" applyFill="1" applyBorder="1"/>
    <xf numFmtId="49" fontId="0" fillId="37" borderId="19" xfId="0" applyNumberFormat="1" applyFill="1" applyBorder="1"/>
    <xf numFmtId="0" fontId="0" fillId="34" borderId="19" xfId="0" applyFill="1" applyBorder="1"/>
    <xf numFmtId="0" fontId="0" fillId="35" borderId="20" xfId="0" applyFill="1" applyBorder="1"/>
    <xf numFmtId="0" fontId="0" fillId="35" borderId="19" xfId="0" applyFill="1" applyBorder="1"/>
    <xf numFmtId="0" fontId="0" fillId="36" borderId="20" xfId="0" applyFill="1" applyBorder="1"/>
    <xf numFmtId="0" fontId="0" fillId="36" borderId="19" xfId="0" applyFill="1" applyBorder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33" fillId="38" borderId="0" xfId="0" applyFont="1" applyFill="1" applyAlignment="1">
      <alignment horizontal="right"/>
    </xf>
    <xf numFmtId="0" fontId="29" fillId="0" borderId="0" xfId="0" applyFont="1"/>
    <xf numFmtId="14" fontId="0" fillId="0" borderId="0" xfId="0" applyNumberFormat="1"/>
    <xf numFmtId="0" fontId="33" fillId="50" borderId="0" xfId="0" applyFont="1" applyFill="1"/>
    <xf numFmtId="49" fontId="39" fillId="39" borderId="0" xfId="0" applyNumberFormat="1" applyFont="1" applyFill="1" applyAlignment="1">
      <alignment wrapText="1"/>
    </xf>
    <xf numFmtId="49" fontId="29" fillId="37" borderId="0" xfId="0" applyNumberFormat="1" applyFont="1" applyFill="1" applyAlignment="1">
      <alignment wrapText="1"/>
    </xf>
    <xf numFmtId="49" fontId="36" fillId="0" borderId="0" xfId="0" applyNumberFormat="1" applyFont="1"/>
    <xf numFmtId="49" fontId="0" fillId="0" borderId="0" xfId="0" applyNumberFormat="1" applyAlignment="1">
      <alignment horizontal="right"/>
    </xf>
    <xf numFmtId="49" fontId="36" fillId="37" borderId="0" xfId="0" applyNumberFormat="1" applyFont="1" applyFill="1"/>
    <xf numFmtId="166" fontId="39" fillId="40" borderId="0" xfId="0" applyNumberFormat="1" applyFont="1" applyFill="1" applyAlignment="1">
      <alignment wrapText="1"/>
    </xf>
    <xf numFmtId="2" fontId="39" fillId="37" borderId="0" xfId="0" applyNumberFormat="1" applyFont="1" applyFill="1" applyAlignment="1">
      <alignment wrapText="1"/>
    </xf>
    <xf numFmtId="167" fontId="39" fillId="37" borderId="0" xfId="0" applyNumberFormat="1" applyFont="1" applyFill="1" applyAlignment="1">
      <alignment wrapText="1"/>
    </xf>
    <xf numFmtId="2" fontId="29" fillId="33" borderId="0" xfId="0" applyNumberFormat="1" applyFont="1" applyFill="1" applyAlignment="1">
      <alignment wrapText="1"/>
    </xf>
    <xf numFmtId="2" fontId="39" fillId="33" borderId="0" xfId="0" applyNumberFormat="1" applyFont="1" applyFill="1" applyAlignment="1">
      <alignment wrapText="1"/>
    </xf>
    <xf numFmtId="166" fontId="29" fillId="33" borderId="0" xfId="0" applyNumberFormat="1" applyFont="1" applyFill="1" applyAlignment="1">
      <alignment wrapText="1"/>
    </xf>
    <xf numFmtId="0" fontId="39" fillId="51" borderId="0" xfId="0" applyFont="1" applyFill="1" applyAlignment="1">
      <alignment wrapText="1"/>
    </xf>
    <xf numFmtId="0" fontId="0" fillId="51" borderId="0" xfId="0" applyFill="1"/>
    <xf numFmtId="49" fontId="39" fillId="51" borderId="0" xfId="0" applyNumberFormat="1" applyFont="1" applyFill="1" applyAlignment="1">
      <alignment wrapText="1"/>
    </xf>
    <xf numFmtId="2" fontId="39" fillId="51" borderId="0" xfId="0" applyNumberFormat="1" applyFont="1" applyFill="1" applyAlignment="1">
      <alignment wrapText="1"/>
    </xf>
    <xf numFmtId="2" fontId="39" fillId="51" borderId="0" xfId="0" applyNumberFormat="1" applyFont="1" applyFill="1"/>
    <xf numFmtId="167" fontId="39" fillId="51" borderId="0" xfId="0" applyNumberFormat="1" applyFont="1" applyFill="1" applyAlignment="1">
      <alignment wrapText="1"/>
    </xf>
    <xf numFmtId="2" fontId="29" fillId="51" borderId="0" xfId="0" applyNumberFormat="1" applyFont="1" applyFill="1" applyAlignment="1">
      <alignment wrapText="1"/>
    </xf>
    <xf numFmtId="166" fontId="39" fillId="51" borderId="0" xfId="0" applyNumberFormat="1" applyFont="1" applyFill="1" applyAlignment="1">
      <alignment wrapText="1"/>
    </xf>
    <xf numFmtId="166" fontId="29" fillId="51" borderId="0" xfId="0" applyNumberFormat="1" applyFont="1" applyFill="1" applyAlignment="1">
      <alignment wrapText="1"/>
    </xf>
    <xf numFmtId="0" fontId="44" fillId="0" borderId="23" xfId="0" applyFont="1" applyBorder="1" applyAlignment="1">
      <alignment wrapText="1"/>
    </xf>
    <xf numFmtId="0" fontId="44" fillId="52" borderId="23" xfId="0" applyFont="1" applyFill="1" applyBorder="1" applyAlignment="1">
      <alignment wrapText="1"/>
    </xf>
    <xf numFmtId="0" fontId="44" fillId="53" borderId="23" xfId="0" applyFont="1" applyFill="1" applyBorder="1" applyAlignment="1">
      <alignment wrapText="1"/>
    </xf>
    <xf numFmtId="0" fontId="44" fillId="54" borderId="23" xfId="0" applyFont="1" applyFill="1" applyBorder="1" applyAlignment="1">
      <alignment wrapText="1"/>
    </xf>
    <xf numFmtId="0" fontId="44" fillId="55" borderId="23" xfId="0" applyFont="1" applyFill="1" applyBorder="1" applyAlignment="1">
      <alignment wrapText="1"/>
    </xf>
    <xf numFmtId="0" fontId="44" fillId="56" borderId="23" xfId="0" applyFont="1" applyFill="1" applyBorder="1" applyAlignment="1">
      <alignment wrapText="1"/>
    </xf>
    <xf numFmtId="1" fontId="45" fillId="57" borderId="23" xfId="0" applyNumberFormat="1" applyFont="1" applyFill="1" applyBorder="1"/>
    <xf numFmtId="168" fontId="45" fillId="57" borderId="23" xfId="0" applyNumberFormat="1" applyFont="1" applyFill="1" applyBorder="1"/>
    <xf numFmtId="0" fontId="46" fillId="0" borderId="23" xfId="0" applyFont="1" applyBorder="1" applyAlignment="1">
      <alignment vertical="center" wrapText="1"/>
    </xf>
    <xf numFmtId="0" fontId="47" fillId="0" borderId="23" xfId="0" applyFont="1" applyBorder="1" applyAlignment="1">
      <alignment vertical="center" wrapText="1"/>
    </xf>
    <xf numFmtId="0" fontId="46" fillId="0" borderId="23" xfId="0" applyFont="1" applyBorder="1"/>
    <xf numFmtId="0" fontId="0" fillId="0" borderId="23" xfId="0" applyBorder="1" applyAlignment="1">
      <alignment vertical="center" wrapText="1"/>
    </xf>
    <xf numFmtId="0" fontId="46" fillId="34" borderId="23" xfId="0" applyFont="1" applyFill="1" applyBorder="1" applyAlignment="1">
      <alignment vertical="center" wrapText="1"/>
    </xf>
    <xf numFmtId="0" fontId="50" fillId="0" borderId="23" xfId="0" applyFont="1" applyBorder="1" applyAlignment="1">
      <alignment vertical="center" wrapText="1"/>
    </xf>
    <xf numFmtId="16" fontId="46" fillId="0" borderId="23" xfId="0" applyNumberFormat="1" applyFont="1" applyBorder="1" applyAlignment="1">
      <alignment vertical="center" wrapText="1"/>
    </xf>
    <xf numFmtId="0" fontId="51" fillId="0" borderId="23" xfId="0" applyFont="1" applyBorder="1" applyAlignment="1">
      <alignment vertical="center" wrapText="1"/>
    </xf>
    <xf numFmtId="0" fontId="33" fillId="0" borderId="23" xfId="0" applyFont="1" applyBorder="1" applyAlignment="1">
      <alignment wrapText="1"/>
    </xf>
    <xf numFmtId="0" fontId="33" fillId="58" borderId="23" xfId="0" applyFont="1" applyFill="1" applyBorder="1" applyAlignment="1">
      <alignment wrapText="1"/>
    </xf>
    <xf numFmtId="0" fontId="33" fillId="59" borderId="23" xfId="0" applyFont="1" applyFill="1" applyBorder="1" applyAlignment="1">
      <alignment wrapText="1"/>
    </xf>
    <xf numFmtId="0" fontId="33" fillId="34" borderId="23" xfId="0" applyFont="1" applyFill="1" applyBorder="1" applyAlignment="1">
      <alignment wrapText="1"/>
    </xf>
    <xf numFmtId="0" fontId="33" fillId="45" borderId="23" xfId="0" applyFont="1" applyFill="1" applyBorder="1" applyAlignment="1">
      <alignment wrapText="1"/>
    </xf>
    <xf numFmtId="0" fontId="33" fillId="38" borderId="23" xfId="0" applyFont="1" applyFill="1" applyBorder="1" applyAlignment="1">
      <alignment wrapText="1"/>
    </xf>
    <xf numFmtId="1" fontId="40" fillId="42" borderId="23" xfId="0" applyNumberFormat="1" applyFont="1" applyFill="1" applyBorder="1"/>
    <xf numFmtId="168" fontId="40" fillId="42" borderId="23" xfId="0" applyNumberFormat="1" applyFont="1" applyFill="1" applyBorder="1"/>
    <xf numFmtId="2" fontId="46" fillId="0" borderId="23" xfId="0" applyNumberFormat="1" applyFont="1" applyBorder="1" applyAlignment="1">
      <alignment vertical="center" wrapText="1"/>
    </xf>
    <xf numFmtId="2" fontId="50" fillId="0" borderId="23" xfId="0" applyNumberFormat="1" applyFont="1" applyBorder="1" applyAlignment="1">
      <alignment vertical="center" wrapText="1"/>
    </xf>
    <xf numFmtId="0" fontId="14" fillId="0" borderId="0" xfId="0" applyFont="1"/>
    <xf numFmtId="0" fontId="14" fillId="0" borderId="0" xfId="0" applyFont="1" applyAlignment="1">
      <alignment wrapText="1"/>
    </xf>
    <xf numFmtId="0" fontId="14" fillId="0" borderId="23" xfId="0" applyFont="1" applyBorder="1" applyAlignment="1">
      <alignment vertical="center" wrapText="1"/>
    </xf>
    <xf numFmtId="2" fontId="14" fillId="0" borderId="23" xfId="0" applyNumberFormat="1" applyFont="1" applyBorder="1" applyAlignment="1">
      <alignment vertical="center" wrapText="1"/>
    </xf>
    <xf numFmtId="0" fontId="53" fillId="0" borderId="23" xfId="0" applyFont="1" applyBorder="1" applyAlignment="1">
      <alignment vertical="center" wrapText="1"/>
    </xf>
    <xf numFmtId="0" fontId="54" fillId="0" borderId="23" xfId="0" applyFont="1" applyBorder="1" applyAlignment="1">
      <alignment wrapText="1"/>
    </xf>
    <xf numFmtId="0" fontId="54" fillId="52" borderId="23" xfId="0" applyFont="1" applyFill="1" applyBorder="1" applyAlignment="1">
      <alignment wrapText="1"/>
    </xf>
    <xf numFmtId="0" fontId="54" fillId="53" borderId="23" xfId="0" applyFont="1" applyFill="1" applyBorder="1" applyAlignment="1">
      <alignment wrapText="1"/>
    </xf>
    <xf numFmtId="0" fontId="54" fillId="55" borderId="23" xfId="0" applyFont="1" applyFill="1" applyBorder="1" applyAlignment="1">
      <alignment wrapText="1"/>
    </xf>
    <xf numFmtId="0" fontId="54" fillId="56" borderId="23" xfId="0" applyFont="1" applyFill="1" applyBorder="1" applyAlignment="1">
      <alignment wrapText="1"/>
    </xf>
    <xf numFmtId="1" fontId="40" fillId="57" borderId="23" xfId="0" applyNumberFormat="1" applyFont="1" applyFill="1" applyBorder="1"/>
    <xf numFmtId="168" fontId="40" fillId="57" borderId="23" xfId="0" applyNumberFormat="1" applyFont="1" applyFill="1" applyBorder="1"/>
    <xf numFmtId="0" fontId="46" fillId="0" borderId="0" xfId="0" applyFont="1"/>
    <xf numFmtId="0" fontId="46" fillId="0" borderId="0" xfId="0" applyFont="1" applyAlignment="1">
      <alignment wrapText="1"/>
    </xf>
    <xf numFmtId="0" fontId="46" fillId="58" borderId="0" xfId="0" applyFont="1" applyFill="1" applyAlignment="1">
      <alignment wrapText="1"/>
    </xf>
    <xf numFmtId="0" fontId="46" fillId="42" borderId="23" xfId="0" applyFont="1" applyFill="1" applyBorder="1" applyAlignment="1">
      <alignment vertical="center" wrapText="1"/>
    </xf>
    <xf numFmtId="0" fontId="46" fillId="46" borderId="23" xfId="0" applyFont="1" applyFill="1" applyBorder="1" applyAlignment="1">
      <alignment vertical="center" wrapText="1"/>
    </xf>
    <xf numFmtId="0" fontId="13" fillId="0" borderId="23" xfId="0" applyFont="1" applyBorder="1" applyAlignment="1">
      <alignment vertical="center" wrapText="1"/>
    </xf>
    <xf numFmtId="0" fontId="14" fillId="45" borderId="23" xfId="0" applyFont="1" applyFill="1" applyBorder="1" applyAlignment="1">
      <alignment vertical="center" wrapText="1"/>
    </xf>
    <xf numFmtId="0" fontId="55" fillId="37" borderId="25" xfId="0" applyFont="1" applyFill="1" applyBorder="1" applyAlignment="1">
      <alignment horizontal="center" vertical="center" wrapText="1"/>
    </xf>
    <xf numFmtId="0" fontId="12" fillId="0" borderId="23" xfId="0" applyFont="1" applyBorder="1" applyAlignment="1">
      <alignment vertical="center" wrapText="1"/>
    </xf>
    <xf numFmtId="0" fontId="14" fillId="42" borderId="23" xfId="0" applyFont="1" applyFill="1" applyBorder="1" applyAlignment="1">
      <alignment vertical="center" wrapText="1"/>
    </xf>
    <xf numFmtId="0" fontId="14" fillId="0" borderId="26" xfId="0" applyFont="1" applyBorder="1" applyAlignment="1">
      <alignment vertical="center" wrapText="1"/>
    </xf>
    <xf numFmtId="0" fontId="14" fillId="0" borderId="27" xfId="0" applyFont="1" applyBorder="1" applyAlignment="1">
      <alignment vertical="center" wrapText="1"/>
    </xf>
    <xf numFmtId="0" fontId="14" fillId="0" borderId="28" xfId="0" applyFont="1" applyBorder="1" applyAlignment="1">
      <alignment vertical="center" wrapText="1"/>
    </xf>
    <xf numFmtId="0" fontId="14" fillId="0" borderId="29" xfId="0" applyFont="1" applyBorder="1" applyAlignment="1">
      <alignment vertical="center" wrapText="1"/>
    </xf>
    <xf numFmtId="0" fontId="14" fillId="0" borderId="30" xfId="0" applyFont="1" applyBorder="1" applyAlignment="1">
      <alignment vertical="center" wrapText="1"/>
    </xf>
    <xf numFmtId="0" fontId="14" fillId="0" borderId="31" xfId="0" applyFont="1" applyBorder="1" applyAlignment="1">
      <alignment vertical="center" wrapText="1"/>
    </xf>
    <xf numFmtId="0" fontId="14" fillId="0" borderId="32" xfId="0" applyFont="1" applyBorder="1" applyAlignment="1">
      <alignment vertical="center" wrapText="1"/>
    </xf>
    <xf numFmtId="0" fontId="14" fillId="0" borderId="33" xfId="0" applyFont="1" applyBorder="1" applyAlignment="1">
      <alignment vertical="center" wrapText="1"/>
    </xf>
    <xf numFmtId="0" fontId="14" fillId="0" borderId="34" xfId="0" applyFont="1" applyBorder="1" applyAlignment="1">
      <alignment vertical="center" wrapText="1"/>
    </xf>
    <xf numFmtId="0" fontId="14" fillId="0" borderId="35" xfId="0" applyFont="1" applyBorder="1" applyAlignment="1">
      <alignment vertical="center" wrapText="1"/>
    </xf>
    <xf numFmtId="0" fontId="14" fillId="0" borderId="36" xfId="0" applyFont="1" applyBorder="1" applyAlignment="1">
      <alignment vertical="center" wrapText="1"/>
    </xf>
    <xf numFmtId="168" fontId="40" fillId="42" borderId="26" xfId="0" applyNumberFormat="1" applyFont="1" applyFill="1" applyBorder="1"/>
    <xf numFmtId="0" fontId="33" fillId="45" borderId="27" xfId="0" applyFont="1" applyFill="1" applyBorder="1" applyAlignment="1">
      <alignment wrapText="1"/>
    </xf>
    <xf numFmtId="0" fontId="55" fillId="37" borderId="37" xfId="0" applyFont="1" applyFill="1" applyBorder="1" applyAlignment="1">
      <alignment horizontal="center" vertical="center" wrapText="1"/>
    </xf>
    <xf numFmtId="0" fontId="55" fillId="37" borderId="38" xfId="0" applyFont="1" applyFill="1" applyBorder="1" applyAlignment="1">
      <alignment horizontal="center" vertical="center" wrapText="1"/>
    </xf>
    <xf numFmtId="0" fontId="55" fillId="37" borderId="39" xfId="0" applyFont="1" applyFill="1" applyBorder="1" applyAlignment="1">
      <alignment horizontal="center" vertical="center" wrapText="1"/>
    </xf>
    <xf numFmtId="168" fontId="40" fillId="57" borderId="26" xfId="0" applyNumberFormat="1" applyFont="1" applyFill="1" applyBorder="1"/>
    <xf numFmtId="0" fontId="54" fillId="55" borderId="27" xfId="0" applyFont="1" applyFill="1" applyBorder="1" applyAlignment="1">
      <alignment wrapText="1"/>
    </xf>
    <xf numFmtId="0" fontId="56" fillId="37" borderId="37" xfId="0" applyFont="1" applyFill="1" applyBorder="1" applyAlignment="1">
      <alignment horizontal="center" vertical="center" wrapText="1"/>
    </xf>
    <xf numFmtId="0" fontId="56" fillId="37" borderId="38" xfId="0" applyFont="1" applyFill="1" applyBorder="1" applyAlignment="1">
      <alignment horizontal="center" vertical="center" wrapText="1"/>
    </xf>
    <xf numFmtId="0" fontId="56" fillId="37" borderId="39" xfId="0" applyFont="1" applyFill="1" applyBorder="1" applyAlignment="1">
      <alignment horizontal="center" vertical="center" wrapText="1"/>
    </xf>
    <xf numFmtId="168" fontId="45" fillId="57" borderId="26" xfId="0" applyNumberFormat="1" applyFont="1" applyFill="1" applyBorder="1"/>
    <xf numFmtId="0" fontId="46" fillId="0" borderId="26" xfId="0" applyFont="1" applyBorder="1" applyAlignment="1">
      <alignment vertical="center" wrapText="1"/>
    </xf>
    <xf numFmtId="0" fontId="46" fillId="0" borderId="26" xfId="0" applyFont="1" applyBorder="1"/>
    <xf numFmtId="0" fontId="44" fillId="55" borderId="27" xfId="0" applyFont="1" applyFill="1" applyBorder="1" applyAlignment="1">
      <alignment wrapText="1"/>
    </xf>
    <xf numFmtId="0" fontId="53" fillId="0" borderId="27" xfId="0" applyFont="1" applyBorder="1" applyAlignment="1">
      <alignment vertical="center" wrapText="1"/>
    </xf>
    <xf numFmtId="0" fontId="57" fillId="37" borderId="37" xfId="0" applyFont="1" applyFill="1" applyBorder="1" applyAlignment="1">
      <alignment horizontal="center" vertical="center" wrapText="1"/>
    </xf>
    <xf numFmtId="0" fontId="57" fillId="37" borderId="38" xfId="0" applyFont="1" applyFill="1" applyBorder="1" applyAlignment="1">
      <alignment horizontal="center" vertical="center" wrapText="1"/>
    </xf>
    <xf numFmtId="0" fontId="57" fillId="37" borderId="39" xfId="0" applyFont="1" applyFill="1" applyBorder="1" applyAlignment="1">
      <alignment horizontal="center" vertical="center" wrapText="1"/>
    </xf>
    <xf numFmtId="0" fontId="53" fillId="0" borderId="32" xfId="0" applyFont="1" applyBorder="1" applyAlignment="1">
      <alignment vertical="center" wrapText="1"/>
    </xf>
    <xf numFmtId="0" fontId="53" fillId="0" borderId="33" xfId="0" applyFont="1" applyBorder="1" applyAlignment="1">
      <alignment vertical="center" wrapText="1"/>
    </xf>
    <xf numFmtId="0" fontId="53" fillId="0" borderId="34" xfId="0" applyFont="1" applyBorder="1" applyAlignment="1">
      <alignment vertical="center" wrapText="1"/>
    </xf>
    <xf numFmtId="0" fontId="53" fillId="0" borderId="35" xfId="0" applyFont="1" applyBorder="1" applyAlignment="1">
      <alignment vertical="center" wrapText="1"/>
    </xf>
    <xf numFmtId="0" fontId="53" fillId="0" borderId="36" xfId="0" applyFont="1" applyBorder="1" applyAlignment="1">
      <alignment vertical="center" wrapText="1"/>
    </xf>
    <xf numFmtId="0" fontId="46" fillId="0" borderId="27" xfId="0" applyFont="1" applyBorder="1" applyAlignment="1">
      <alignment vertical="center" wrapText="1"/>
    </xf>
    <xf numFmtId="0" fontId="46" fillId="0" borderId="32" xfId="0" applyFont="1" applyBorder="1" applyAlignment="1">
      <alignment vertical="center" wrapText="1"/>
    </xf>
    <xf numFmtId="0" fontId="46" fillId="0" borderId="33" xfId="0" applyFont="1" applyBorder="1" applyAlignment="1">
      <alignment vertical="center" wrapText="1"/>
    </xf>
    <xf numFmtId="168" fontId="45" fillId="57" borderId="27" xfId="0" applyNumberFormat="1" applyFont="1" applyFill="1" applyBorder="1"/>
    <xf numFmtId="0" fontId="51" fillId="0" borderId="27" xfId="0" applyFont="1" applyBorder="1" applyAlignment="1">
      <alignment vertical="center" wrapText="1"/>
    </xf>
    <xf numFmtId="0" fontId="59" fillId="0" borderId="27" xfId="0" applyFont="1" applyBorder="1" applyAlignment="1">
      <alignment vertical="center" wrapText="1"/>
    </xf>
    <xf numFmtId="0" fontId="60" fillId="0" borderId="0" xfId="0" applyFont="1"/>
    <xf numFmtId="2" fontId="51" fillId="0" borderId="23" xfId="0" applyNumberFormat="1" applyFont="1" applyBorder="1" applyAlignment="1">
      <alignment vertical="center" wrapText="1"/>
    </xf>
    <xf numFmtId="0" fontId="11" fillId="0" borderId="30" xfId="0" applyFont="1" applyBorder="1" applyAlignment="1">
      <alignment vertical="center" wrapText="1"/>
    </xf>
    <xf numFmtId="0" fontId="11" fillId="0" borderId="23" xfId="0" applyFont="1" applyBorder="1" applyAlignment="1">
      <alignment vertical="center" wrapText="1"/>
    </xf>
    <xf numFmtId="0" fontId="11" fillId="0" borderId="27" xfId="0" applyFont="1" applyBorder="1" applyAlignment="1">
      <alignment vertical="center" wrapText="1"/>
    </xf>
    <xf numFmtId="0" fontId="58" fillId="0" borderId="27" xfId="0" applyFont="1" applyBorder="1" applyAlignment="1">
      <alignment vertical="center" wrapText="1"/>
    </xf>
    <xf numFmtId="0" fontId="11" fillId="45" borderId="23" xfId="0" applyFont="1" applyFill="1" applyBorder="1" applyAlignment="1">
      <alignment vertical="center" wrapText="1"/>
    </xf>
    <xf numFmtId="16" fontId="10" fillId="0" borderId="23" xfId="0" applyNumberFormat="1" applyFont="1" applyBorder="1" applyAlignment="1">
      <alignment vertical="center" wrapText="1"/>
    </xf>
    <xf numFmtId="0" fontId="10" fillId="0" borderId="23" xfId="0" applyFont="1" applyBorder="1" applyAlignment="1">
      <alignment vertical="center" wrapText="1"/>
    </xf>
    <xf numFmtId="0" fontId="11" fillId="42" borderId="23" xfId="0" applyFont="1" applyFill="1" applyBorder="1" applyAlignment="1">
      <alignment vertical="center" wrapText="1"/>
    </xf>
    <xf numFmtId="0" fontId="10" fillId="0" borderId="0" xfId="0" applyFont="1"/>
    <xf numFmtId="2" fontId="14" fillId="0" borderId="0" xfId="0" applyNumberFormat="1" applyFont="1" applyAlignment="1">
      <alignment wrapText="1"/>
    </xf>
    <xf numFmtId="2" fontId="33" fillId="59" borderId="23" xfId="0" applyNumberFormat="1" applyFont="1" applyFill="1" applyBorder="1" applyAlignment="1">
      <alignment wrapText="1"/>
    </xf>
    <xf numFmtId="2" fontId="12" fillId="0" borderId="23" xfId="0" applyNumberFormat="1" applyFont="1" applyBorder="1" applyAlignment="1">
      <alignment vertical="center" wrapText="1"/>
    </xf>
    <xf numFmtId="2" fontId="11" fillId="0" borderId="23" xfId="0" applyNumberFormat="1" applyFont="1" applyBorder="1" applyAlignment="1">
      <alignment vertical="center" wrapText="1"/>
    </xf>
    <xf numFmtId="2" fontId="58" fillId="0" borderId="23" xfId="0" applyNumberFormat="1" applyFont="1" applyBorder="1" applyAlignment="1">
      <alignment vertical="center" wrapText="1"/>
    </xf>
    <xf numFmtId="2" fontId="14" fillId="42" borderId="23" xfId="0" applyNumberFormat="1" applyFont="1" applyFill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2" fontId="9" fillId="0" borderId="23" xfId="0" applyNumberFormat="1" applyFont="1" applyBorder="1" applyAlignment="1">
      <alignment vertical="center" wrapText="1"/>
    </xf>
    <xf numFmtId="0" fontId="61" fillId="0" borderId="23" xfId="0" applyFont="1" applyBorder="1" applyAlignment="1">
      <alignment vertical="center" wrapText="1"/>
    </xf>
    <xf numFmtId="2" fontId="14" fillId="0" borderId="0" xfId="0" applyNumberFormat="1" applyFont="1"/>
    <xf numFmtId="2" fontId="54" fillId="53" borderId="23" xfId="0" applyNumberFormat="1" applyFont="1" applyFill="1" applyBorder="1" applyAlignment="1">
      <alignment wrapText="1"/>
    </xf>
    <xf numFmtId="0" fontId="9" fillId="0" borderId="27" xfId="0" applyFont="1" applyBorder="1" applyAlignment="1">
      <alignment vertical="center" wrapText="1"/>
    </xf>
    <xf numFmtId="0" fontId="53" fillId="42" borderId="23" xfId="0" applyFont="1" applyFill="1" applyBorder="1" applyAlignment="1">
      <alignment vertical="center" wrapText="1"/>
    </xf>
    <xf numFmtId="0" fontId="51" fillId="0" borderId="26" xfId="0" applyFont="1" applyBorder="1" applyAlignment="1">
      <alignment vertical="center" wrapText="1"/>
    </xf>
    <xf numFmtId="0" fontId="51" fillId="0" borderId="32" xfId="0" applyFont="1" applyBorder="1" applyAlignment="1">
      <alignment vertical="center" wrapText="1"/>
    </xf>
    <xf numFmtId="0" fontId="51" fillId="0" borderId="33" xfId="0" applyFont="1" applyBorder="1" applyAlignment="1">
      <alignment vertical="center" wrapText="1"/>
    </xf>
    <xf numFmtId="0" fontId="58" fillId="0" borderId="0" xfId="0" applyFont="1"/>
    <xf numFmtId="2" fontId="41" fillId="0" borderId="23" xfId="0" applyNumberFormat="1" applyFont="1" applyBorder="1" applyAlignment="1">
      <alignment vertical="center" wrapText="1"/>
    </xf>
    <xf numFmtId="2" fontId="50" fillId="58" borderId="0" xfId="0" applyNumberFormat="1" applyFont="1" applyFill="1"/>
    <xf numFmtId="0" fontId="9" fillId="0" borderId="0" xfId="0" applyFont="1"/>
    <xf numFmtId="2" fontId="50" fillId="0" borderId="0" xfId="0" applyNumberFormat="1" applyFont="1" applyAlignment="1">
      <alignment wrapText="1"/>
    </xf>
    <xf numFmtId="2" fontId="45" fillId="53" borderId="23" xfId="0" applyNumberFormat="1" applyFont="1" applyFill="1" applyBorder="1" applyAlignment="1">
      <alignment wrapText="1"/>
    </xf>
    <xf numFmtId="2" fontId="50" fillId="42" borderId="23" xfId="0" applyNumberFormat="1" applyFont="1" applyFill="1" applyBorder="1" applyAlignment="1">
      <alignment vertical="center" wrapText="1"/>
    </xf>
    <xf numFmtId="2" fontId="50" fillId="0" borderId="24" xfId="0" applyNumberFormat="1" applyFont="1" applyBorder="1" applyAlignment="1">
      <alignment vertical="center" wrapText="1"/>
    </xf>
    <xf numFmtId="2" fontId="46" fillId="0" borderId="0" xfId="0" applyNumberFormat="1" applyFont="1"/>
    <xf numFmtId="2" fontId="44" fillId="54" borderId="23" xfId="0" applyNumberFormat="1" applyFont="1" applyFill="1" applyBorder="1" applyAlignment="1">
      <alignment wrapText="1"/>
    </xf>
    <xf numFmtId="2" fontId="41" fillId="0" borderId="0" xfId="0" applyNumberFormat="1" applyFont="1"/>
    <xf numFmtId="2" fontId="0" fillId="0" borderId="23" xfId="0" applyNumberFormat="1" applyBorder="1" applyAlignment="1">
      <alignment vertical="center" wrapText="1"/>
    </xf>
    <xf numFmtId="2" fontId="58" fillId="0" borderId="0" xfId="0" applyNumberFormat="1" applyFont="1"/>
    <xf numFmtId="2" fontId="9" fillId="0" borderId="0" xfId="0" applyNumberFormat="1" applyFont="1"/>
    <xf numFmtId="2" fontId="14" fillId="41" borderId="0" xfId="0" applyNumberFormat="1" applyFont="1" applyFill="1"/>
    <xf numFmtId="2" fontId="0" fillId="38" borderId="0" xfId="0" applyNumberFormat="1" applyFill="1"/>
    <xf numFmtId="2" fontId="14" fillId="38" borderId="0" xfId="0" applyNumberFormat="1" applyFont="1" applyFill="1"/>
    <xf numFmtId="2" fontId="46" fillId="38" borderId="0" xfId="0" applyNumberFormat="1" applyFont="1" applyFill="1"/>
    <xf numFmtId="2" fontId="9" fillId="41" borderId="0" xfId="0" applyNumberFormat="1" applyFont="1" applyFill="1"/>
    <xf numFmtId="2" fontId="14" fillId="58" borderId="0" xfId="0" applyNumberFormat="1" applyFont="1" applyFill="1"/>
    <xf numFmtId="16" fontId="0" fillId="58" borderId="0" xfId="0" applyNumberFormat="1" applyFill="1"/>
    <xf numFmtId="2" fontId="0" fillId="58" borderId="0" xfId="0" applyNumberFormat="1" applyFill="1"/>
    <xf numFmtId="16" fontId="14" fillId="58" borderId="0" xfId="0" applyNumberFormat="1" applyFont="1" applyFill="1"/>
    <xf numFmtId="2" fontId="9" fillId="58" borderId="0" xfId="0" applyNumberFormat="1" applyFont="1" applyFill="1"/>
    <xf numFmtId="2" fontId="33" fillId="34" borderId="23" xfId="0" applyNumberFormat="1" applyFont="1" applyFill="1" applyBorder="1" applyAlignment="1">
      <alignment wrapText="1"/>
    </xf>
    <xf numFmtId="49" fontId="39" fillId="38" borderId="46" xfId="0" applyNumberFormat="1" applyFont="1" applyFill="1" applyBorder="1" applyAlignment="1">
      <alignment wrapText="1"/>
    </xf>
    <xf numFmtId="2" fontId="39" fillId="51" borderId="47" xfId="0" applyNumberFormat="1" applyFont="1" applyFill="1" applyBorder="1" applyAlignment="1">
      <alignment wrapText="1"/>
    </xf>
    <xf numFmtId="2" fontId="29" fillId="37" borderId="47" xfId="0" applyNumberFormat="1" applyFont="1" applyFill="1" applyBorder="1"/>
    <xf numFmtId="2" fontId="0" fillId="37" borderId="47" xfId="0" applyNumberFormat="1" applyFill="1" applyBorder="1"/>
    <xf numFmtId="49" fontId="0" fillId="0" borderId="47" xfId="0" applyNumberFormat="1" applyBorder="1"/>
    <xf numFmtId="0" fontId="8" fillId="0" borderId="23" xfId="0" applyFont="1" applyBorder="1" applyAlignment="1">
      <alignment vertical="center" wrapText="1"/>
    </xf>
    <xf numFmtId="49" fontId="8" fillId="37" borderId="0" xfId="0" applyNumberFormat="1" applyFont="1" applyFill="1"/>
    <xf numFmtId="0" fontId="62" fillId="37" borderId="0" xfId="0" applyFont="1" applyFill="1"/>
    <xf numFmtId="2" fontId="54" fillId="54" borderId="23" xfId="0" applyNumberFormat="1" applyFont="1" applyFill="1" applyBorder="1" applyAlignment="1">
      <alignment wrapText="1"/>
    </xf>
    <xf numFmtId="2" fontId="14" fillId="41" borderId="23" xfId="0" applyNumberFormat="1" applyFont="1" applyFill="1" applyBorder="1" applyAlignment="1">
      <alignment vertical="center" wrapText="1"/>
    </xf>
    <xf numFmtId="0" fontId="7" fillId="0" borderId="23" xfId="0" applyFont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6" fillId="45" borderId="23" xfId="0" applyFont="1" applyFill="1" applyBorder="1" applyAlignment="1">
      <alignment vertical="center" wrapText="1"/>
    </xf>
    <xf numFmtId="0" fontId="6" fillId="37" borderId="23" xfId="0" applyFont="1" applyFill="1" applyBorder="1" applyAlignment="1">
      <alignment vertical="center" wrapText="1"/>
    </xf>
    <xf numFmtId="0" fontId="6" fillId="41" borderId="23" xfId="0" applyFont="1" applyFill="1" applyBorder="1" applyAlignment="1">
      <alignment vertical="center" wrapText="1"/>
    </xf>
    <xf numFmtId="2" fontId="6" fillId="0" borderId="23" xfId="0" applyNumberFormat="1" applyFont="1" applyBorder="1" applyAlignment="1">
      <alignment vertical="center" wrapText="1"/>
    </xf>
    <xf numFmtId="0" fontId="29" fillId="0" borderId="23" xfId="0" applyFont="1" applyBorder="1" applyAlignment="1">
      <alignment vertical="center" wrapText="1"/>
    </xf>
    <xf numFmtId="0" fontId="5" fillId="0" borderId="23" xfId="0" applyFont="1" applyBorder="1" applyAlignment="1">
      <alignment vertical="center" wrapText="1"/>
    </xf>
    <xf numFmtId="0" fontId="4" fillId="0" borderId="23" xfId="0" applyFont="1" applyBorder="1" applyAlignment="1">
      <alignment vertical="center" wrapText="1"/>
    </xf>
    <xf numFmtId="2" fontId="4" fillId="0" borderId="23" xfId="0" applyNumberFormat="1" applyFont="1" applyBorder="1" applyAlignment="1">
      <alignment vertical="center" wrapText="1"/>
    </xf>
    <xf numFmtId="0" fontId="3" fillId="0" borderId="23" xfId="0" applyFont="1" applyBorder="1" applyAlignment="1">
      <alignment vertical="center" wrapText="1"/>
    </xf>
    <xf numFmtId="0" fontId="2" fillId="0" borderId="23" xfId="0" applyFont="1" applyBorder="1" applyAlignment="1">
      <alignment vertical="center" wrapText="1"/>
    </xf>
    <xf numFmtId="0" fontId="55" fillId="37" borderId="43" xfId="0" applyFont="1" applyFill="1" applyBorder="1" applyAlignment="1">
      <alignment horizontal="center" vertical="center" wrapText="1"/>
    </xf>
    <xf numFmtId="0" fontId="55" fillId="37" borderId="44" xfId="0" applyFont="1" applyFill="1" applyBorder="1" applyAlignment="1">
      <alignment horizontal="center" vertical="center" wrapText="1"/>
    </xf>
    <xf numFmtId="0" fontId="55" fillId="37" borderId="45" xfId="0" applyFont="1" applyFill="1" applyBorder="1" applyAlignment="1">
      <alignment horizontal="center" vertical="center" wrapText="1"/>
    </xf>
    <xf numFmtId="0" fontId="55" fillId="37" borderId="40" xfId="0" applyFont="1" applyFill="1" applyBorder="1" applyAlignment="1">
      <alignment horizontal="center" vertical="center" wrapText="1"/>
    </xf>
    <xf numFmtId="0" fontId="55" fillId="37" borderId="41" xfId="0" applyFont="1" applyFill="1" applyBorder="1" applyAlignment="1">
      <alignment horizontal="center" vertical="center" wrapText="1"/>
    </xf>
    <xf numFmtId="0" fontId="55" fillId="37" borderId="42" xfId="0" applyFont="1" applyFill="1" applyBorder="1" applyAlignment="1">
      <alignment horizontal="center" vertical="center" wrapText="1"/>
    </xf>
    <xf numFmtId="0" fontId="56" fillId="37" borderId="25" xfId="0" applyFont="1" applyFill="1" applyBorder="1" applyAlignment="1">
      <alignment horizontal="center" vertical="center" wrapText="1"/>
    </xf>
    <xf numFmtId="0" fontId="57" fillId="37" borderId="25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vertical="center" wrapText="1"/>
    </xf>
    <xf numFmtId="2" fontId="1" fillId="0" borderId="23" xfId="0" applyNumberFormat="1" applyFont="1" applyBorder="1" applyAlignment="1">
      <alignment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7FB2D5F-1C7B-4ED9-84E8-C0BB72C5A19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89">
    <dxf>
      <numFmt numFmtId="30" formatCode="@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ill>
        <patternFill>
          <bgColor rgb="FF0070C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166" formatCode="0.00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2" formatCode="0.00"/>
    </dxf>
    <dxf>
      <numFmt numFmtId="166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charset val="186"/>
        <scheme val="minor"/>
      </font>
      <numFmt numFmtId="2" formatCode="0.00"/>
      <fill>
        <patternFill patternType="solid">
          <fgColor indexed="64"/>
          <bgColor theme="4" tint="0.79998168889431442"/>
        </patternFill>
      </fill>
    </dxf>
    <dxf>
      <numFmt numFmtId="167" formatCode="0.000000"/>
    </dxf>
    <dxf>
      <numFmt numFmtId="167" formatCode="0.0000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numFmt numFmtId="2" formatCode="0.00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30" formatCode="@"/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charset val="186"/>
        <scheme val="minor"/>
      </font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70AD4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rgb="FFE7E6E6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5" tint="0.59996337778862885"/>
        </patternFill>
      </fill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C5454A-0E7A-470C-AD76-C1A6F20AB049}"/>
            </a:ext>
          </a:extLst>
        </xdr:cNvPr>
        <xdr:cNvSpPr txBox="1"/>
      </xdr:nvSpPr>
      <xdr:spPr>
        <a:xfrm>
          <a:off x="8897083" y="234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238858</xdr:colOff>
      <xdr:row>3</xdr:row>
      <xdr:rowOff>0</xdr:rowOff>
    </xdr:from>
    <xdr:ext cx="65" cy="17222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0C692F-83ED-4F27-8B06-630F968FA08E}"/>
            </a:ext>
          </a:extLst>
        </xdr:cNvPr>
        <xdr:cNvSpPr txBox="1"/>
      </xdr:nvSpPr>
      <xdr:spPr>
        <a:xfrm>
          <a:off x="8554183" y="2524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20</xdr:col>
      <xdr:colOff>238858</xdr:colOff>
      <xdr:row>3</xdr:row>
      <xdr:rowOff>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8B7C11-A938-4239-A32A-4400EDB4543C}"/>
            </a:ext>
          </a:extLst>
        </xdr:cNvPr>
        <xdr:cNvSpPr txBox="1"/>
      </xdr:nvSpPr>
      <xdr:spPr>
        <a:xfrm>
          <a:off x="8001733" y="2714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14</xdr:row>
      <xdr:rowOff>158115</xdr:rowOff>
    </xdr:from>
    <xdr:to>
      <xdr:col>0</xdr:col>
      <xdr:colOff>2592705</xdr:colOff>
      <xdr:row>18</xdr:row>
      <xdr:rowOff>123825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79EFBA1-AA97-4263-8AA0-0F45F6E0CF62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0YmRiaW9kaXNjb3ZlcnktbXkuc2hhcmVwb2ludC5jb20vOnU6L2cvcGVyc29uYWwvb2ZmdGJkMDJfdGJkYmlvZGlzY292ZXJ5X29ubWljcm9zb2Z0X2NvbS9FU2pwOHdMbXhjNU1ob2RHdlhKalJXRUJLX1hmUW9JOUJuY3Z1bnBjc0Y3UW1R&quot;}"/>
            </a:ext>
          </a:extLst>
        </xdr:cNvPr>
        <xdr:cNvSpPr/>
      </xdr:nvSpPr>
      <xdr:spPr>
        <a:xfrm>
          <a:off x="19050" y="3415665"/>
          <a:ext cx="2573655" cy="689610"/>
        </a:xfrm>
        <a:prstGeom prst="roundRect">
          <a:avLst/>
        </a:prstGeom>
        <a:solidFill>
          <a:schemeClr val="bg2">
            <a:lumMod val="25000"/>
          </a:schemeClr>
        </a:solidFill>
        <a:ln w="1270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t-EE" sz="1400">
              <a:solidFill>
                <a:srgbClr val="FF0000"/>
              </a:solidFill>
            </a:rPr>
            <a:t>Press to confirm SD-PGI is ready!</a:t>
          </a:r>
        </a:p>
        <a:p>
          <a:pPr algn="ctr"/>
          <a:endParaRPr lang="et-EE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BD Biodiscovery" id="{7125213A-9BAD-4E69-850F-C0F3217C991C}" userId="S::offtbd02@tbdbiodiscovery.onmicrosoft.com::3d9a26eb-5e5a-4f81-92a4-2a639820da8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6FDA47E-F792-4899-B59A-B4295A25C20A}" name="Table4" displayName="Table4" ref="A1:AP255" totalsRowShown="0" headerRowDxfId="42">
  <autoFilter ref="A1:AP255" xr:uid="{06FDA47E-F792-4899-B59A-B4295A25C20A}"/>
  <tableColumns count="42">
    <tableColumn id="1" xr3:uid="{DDD58012-A486-4713-9650-4B2F29C93BF6}" name="Reaction step"/>
    <tableColumn id="2" xr3:uid="{91C59492-C881-4CEE-9935-756E67D67ECA}" name="Intermediate_x000a_product"/>
    <tableColumn id="4" xr3:uid="{BED771A2-DD73-484E-A979-3D3A00BAB87B}" name=" limiting reactant"/>
    <tableColumn id="5" xr3:uid="{234D5A45-E6B6-472A-9D2A-7F1CECC0F864}" name=" Chemical name" dataDxfId="41">
      <calculatedColumnFormula>IFERROR(VLOOKUP(E2,'Chemical data ref sheet'!$A$1:$E$163,2,FALSE),"")</calculatedColumnFormula>
    </tableColumn>
    <tableColumn id="6" xr3:uid="{2B9FD5AE-B407-416B-90AA-606985646EC7}" name=" CAS" dataDxfId="40"/>
    <tableColumn id="7" xr3:uid="{F0483C54-83FB-485F-A30D-011912ED6424}" name=" Chemical formula" dataDxfId="39"/>
    <tableColumn id="8" xr3:uid="{D53746B6-4012-431A-8AA0-33DF1A53787B}" name="Fixed mass of _x000a_main reactant (kg)" dataDxfId="38"/>
    <tableColumn id="9" xr3:uid="{BCD55B90-19D8-4023-8CF2-684A65B4E455}" name=" molar mass_x000a_ (g/mol)" dataDxfId="37">
      <calculatedColumnFormula>IFERROR(VLOOKUP(E2,'Chemical data ref sheet'!$A$1:$E$163,4,FALSE),"")</calculatedColumnFormula>
    </tableColumn>
    <tableColumn id="10" xr3:uid="{ACB11B4D-B02A-42D0-AC34-AF370E7E2C83}" name=" density_x000a_(kg/L)" dataDxfId="36">
      <calculatedColumnFormula>IFERROR(VLOOKUP(E2,'Chemical data ref sheet'!$A$1:$E$163,5,FALSE),"")</calculatedColumnFormula>
    </tableColumn>
    <tableColumn id="11" xr3:uid="{81888D7B-4B01-4426-BB23-3EFA6C4C9C83}" name="Relative molar_x000a_ amount" dataDxfId="35"/>
    <tableColumn id="12" xr3:uid="{6CEBA229-E600-4426-9596-EF4062B7C43C}" name="Relative _x000a_volume" dataDxfId="34"/>
    <tableColumn id="13" xr3:uid="{FBA0B94F-4D2F-4F78-B97B-E449FFD36715}" name="Relative mass" dataDxfId="33"/>
    <tableColumn id="14" xr3:uid="{D09B3E86-906E-48D4-B552-472E52A16781}" name="Min yield" dataDxfId="32"/>
    <tableColumn id="15" xr3:uid="{34D60C66-1E5F-438F-8D43-82439A6C66FF}" name="Max yield" dataDxfId="31"/>
    <tableColumn id="16" xr3:uid="{77F94E62-C63F-4963-A1CF-54F5017473A8}" name=" Avg yield" dataDxfId="30"/>
    <tableColumn id="3" xr3:uid="{B618127A-7924-425F-A56C-0B285B9ADD1F}" name="Product retention samples (g)" dataDxfId="29">
      <calculatedColumnFormula>SUMIFS('Product samples'!E:E, 'Product samples'!A:A, B2)</calculatedColumnFormula>
    </tableColumn>
    <tableColumn id="45" xr3:uid="{352CF7EB-8D7D-4956-9B73-7B5FFCBBEF73}" name="Product retention samples (kilomoles)" dataDxfId="28">
      <calculatedColumnFormula>IFERROR((P2/1000)/H2,0)</calculatedColumnFormula>
    </tableColumn>
    <tableColumn id="18" xr3:uid="{310995BD-B3B4-4D22-AF5D-1668100CD276}" name="Number of kilomoles _x000a_(Main reactant of TP )" dataDxfId="27">
      <calculatedColumnFormula>IFERROR(IF(G2="",VLOOKUP(C2,$B$1:$W$254,22,FALSE),VLOOKUP(C2,$B$1:$W$254,22,FALSE)*(G2/VLOOKUP(C2,$B$1:$X$254,23,FALSE))),"")</calculatedColumnFormula>
    </tableColumn>
    <tableColumn id="19" xr3:uid="{95EC20B5-2E0C-4E9E-B030-9C74A4CDB3E8}" name="mass _x000a_(Main reactant of TP)" dataDxfId="26">
      <calculatedColumnFormula>IFERROR(IF(G2="",VLOOKUP(C2,$B$1:$X$254,23,FALSE),VLOOKUP(C2,$B$1:$X$254,23,FALSE)*(G2/VLOOKUP(C2,$B$1:$X$254,23,FALSE))),"")</calculatedColumnFormula>
    </tableColumn>
    <tableColumn id="20" xr3:uid="{814AC506-741B-436E-A461-8D567286A1EC}" name="Number of _x000a_kilomoles (n)" dataDxfId="25">
      <calculatedColumnFormula>IF(AM2&lt;&gt;"",AM2/H2,IF(AND(C2=D2,C2&lt;&gt;""),R2,IF(O2&lt;&gt;"",O2*R2,IF(J2&lt;&gt;"",J2*R2,""))))</calculatedColumnFormula>
    </tableColumn>
    <tableColumn id="21" xr3:uid="{1DDE9110-E4DE-4E75-B8B7-858ACF3B11B2}" name=" Output_x000a_ mass (kg)" dataDxfId="24">
      <calculatedColumnFormula>IF(AND(H2&lt;&gt;"",T2&lt;&gt;""),T2*H2,IF(L2&lt;&gt;"",S2*L2,""))</calculatedColumnFormula>
    </tableColumn>
    <tableColumn id="22" xr3:uid="{ACD2CEE7-2CEB-4471-969B-937A2A3E1955}" name=" Output _x000a_volume (L)" dataDxfId="23">
      <calculatedColumnFormula>IFERROR(IF(AND(U2&lt;&gt;"",I2&lt;&gt;""),U2/I2,IF(AND(S2&lt;&gt;"",K2&lt;&gt;""),K2*S2,"")),"")</calculatedColumnFormula>
    </tableColumn>
    <tableColumn id="42" xr3:uid="{D48F18E3-976E-4E3F-85E8-1DA1C972A8DD}" name="Number of kilomoles (available in next reaction step)" dataDxfId="22">
      <calculatedColumnFormula>IFERROR(IF(B2&lt;&gt;"",T2-Q2,""),"")</calculatedColumnFormula>
    </tableColumn>
    <tableColumn id="29" xr3:uid="{38DF975F-04F6-4F74-8A1D-A905CDECCB8D}" name="Mass (available in next reaction step)" dataDxfId="21">
      <calculatedColumnFormula>IFERROR(IF(B2&lt;&gt;"",U2-(P2/1000),""),"")</calculatedColumnFormula>
    </tableColumn>
    <tableColumn id="34" xr3:uid="{DBBA46BA-F1D3-4128-9006-6510F82232C4}" name="number of kilomoles - min yield_x000a_(Main reactant of TP )" dataDxfId="20">
      <calculatedColumnFormula>IFERROR(IF(G2="",VLOOKUP(C2,$B$1:$AD$254,29,FALSE),VLOOKUP(C2,$B$1:$AD$254,29,FALSE)*(G2/VLOOKUP(C2,$B$1:$AE$254,30,FALSE))),"")</calculatedColumnFormula>
    </tableColumn>
    <tableColumn id="33" xr3:uid="{13ABA0E3-6F1E-4474-8187-F07550BB1477}" name="mass - min yield_x000a_(Main reactant of TP)" dataDxfId="19">
      <calculatedColumnFormula>IFERROR(IF(G2="",VLOOKUP(C2,$B$1:$AE$254,30,FALSE),VLOOKUP(C2,$B$1:$AE$254,30,FALSE)*(G2/VLOOKUP(C2,$B$1:$AE$254,30,FALSE))),"")</calculatedColumnFormula>
    </tableColumn>
    <tableColumn id="23" xr3:uid="{60B1FBAD-1ED7-4766-81CD-04E07A37478A}" name="Number of _x000a_kilomoles - min yield (n)" dataDxfId="18">
      <calculatedColumnFormula>IF(AM2&lt;&gt;"",AM2/H2,IF(AND(C2=D2,C2&lt;&gt;""),Y2,IF(M2&lt;&gt;"",M2*Y2,IF(J2&lt;&gt;"",J2*Y2,""))))</calculatedColumnFormula>
    </tableColumn>
    <tableColumn id="24" xr3:uid="{F6AFFB32-F831-425D-BB16-371CEFC0B78A}" name="Min output_x000a_mass (kg)" dataDxfId="17">
      <calculatedColumnFormula>IF(AND(H2&lt;&gt;"",AA2&lt;&gt;""),AA2*H2,IF(L2&lt;&gt;"",Z2*L2,""))</calculatedColumnFormula>
    </tableColumn>
    <tableColumn id="25" xr3:uid="{E7BD2E3A-FA21-4C57-8CE1-B1BE658834C3}" name=" Min output_x000a_volume (L)" dataDxfId="16">
      <calculatedColumnFormula>IFERROR(IF(AND(AB2&lt;&gt;"",I2&lt;&gt;""),AB2/I2,IF(AND(Z2&lt;&gt;"",K2&lt;&gt;""),K2*Z2,"")),"")</calculatedColumnFormula>
    </tableColumn>
    <tableColumn id="43" xr3:uid="{73B91B4C-513D-4AFB-82EB-83293BA04D75}" name="Number of kilomoles - min yield_x000a_(available in next reaction step)" dataDxfId="15">
      <calculatedColumnFormula>IFERROR(IF(B2&lt;&gt;"",AA2-Q2,""),"")</calculatedColumnFormula>
    </tableColumn>
    <tableColumn id="38" xr3:uid="{D21965E2-68A7-47FD-856F-B037039C550F}" name="Mass - min yield _x000a_(available in next reaction step)" dataDxfId="14">
      <calculatedColumnFormula>IFERROR(IF(B2&lt;&gt;"",AB2-(P2/1000),""),"")</calculatedColumnFormula>
    </tableColumn>
    <tableColumn id="36" xr3:uid="{80AFECEF-E21F-479A-BAD3-1DD413837A4C}" name="number of moles - max yield_x000a_(Main reactant of TP )" dataDxfId="13">
      <calculatedColumnFormula>IFERROR(IF(G2="",VLOOKUP(C2,$B$1:$AK$254,36,FALSE),VLOOKUP(C2,$B$1:$AK$254,36,FALSE)*(G2/VLOOKUP(C2,$B$1:$AL$254,37,FALSE))),"")</calculatedColumnFormula>
    </tableColumn>
    <tableColumn id="35" xr3:uid="{1C7F6E3F-895E-4B9A-95B1-66938F0FBACC}" name="mass - max yield_x000a_(Main reactant of TP)" dataDxfId="12">
      <calculatedColumnFormula>IFERROR(IF(G2="",VLOOKUP(C2,$B$1:$AL$254,37,FALSE),VLOOKUP(C2,$B$1:$AL$254,37,FALSE)*(G2/VLOOKUP(C2,$B$1:$AL$254,37,FALSE))),"")</calculatedColumnFormula>
    </tableColumn>
    <tableColumn id="26" xr3:uid="{B9F3852B-57AD-4FFB-9F87-7F463C4A91DC}" name="Number of _x000a_kilomoles - max yield (n)" dataDxfId="11">
      <calculatedColumnFormula>IF(AM2&lt;&gt;"",AM2/H2,IF(AND(C2=D2,C2&lt;&gt;""),AF2,IF(N2&lt;&gt;"",N2*AF2,IF(J2&lt;&gt;"",J2*AF2,""))))</calculatedColumnFormula>
    </tableColumn>
    <tableColumn id="27" xr3:uid="{7909257D-CD3D-4646-86FD-F48A615EEE1E}" name="Max output_x000a_mass (kg)" dataDxfId="10">
      <calculatedColumnFormula>IF(AND(H2&lt;&gt;"",AH2&lt;&gt;""),AH2*H2,IF(L2&lt;&gt;"",AG2*L2,""))</calculatedColumnFormula>
    </tableColumn>
    <tableColumn id="28" xr3:uid="{EC86A3F7-B47A-48C4-9257-86E49434C674}" name=" Max output_x000a_ volume (L)" dataDxfId="9">
      <calculatedColumnFormula>IFERROR(IF(AND(AI2&lt;&gt;"",I2&lt;&gt;""),AI2/I2,IF(AND(AG2&lt;&gt;"",K2&lt;&gt;""),K2*AG2,"")),"")</calculatedColumnFormula>
    </tableColumn>
    <tableColumn id="44" xr3:uid="{92EDF47E-8802-4F61-ACE2-FBACCB900DBD}" name="Number of kilomoles - max yield_x000a_(available in next reaction step)" dataDxfId="8">
      <calculatedColumnFormula>IFERROR(IF(B2&lt;&gt;"",AH2-Q2,""),"")</calculatedColumnFormula>
    </tableColumn>
    <tableColumn id="40" xr3:uid="{8B9F96FD-A3E7-461C-A6D1-62ECFF8EF0A8}" name="Mass - max yield _x000a_(available in next reaction step)" dataDxfId="7">
      <calculatedColumnFormula>IFERROR(IF(B2&lt;&gt;"",AI2-(Q2/1000),""),"")</calculatedColumnFormula>
    </tableColumn>
    <tableColumn id="30" xr3:uid="{64775509-4382-44F2-98AF-55A2A81AC7D9}" name="Input (Mass)"/>
    <tableColumn id="31" xr3:uid="{1C505B25-7395-46B6-B47B-7AA97654812A}" name="Minimum stirring_x000a_ volume"/>
    <tableColumn id="32" xr3:uid="{4F8295F3-692E-4E7D-9F73-DAFBC114A6F0}" name="Maximum Total_x000a_ Volume"/>
    <tableColumn id="17" xr3:uid="{AF102F1E-C2D2-44C1-85B5-9DB37A35567D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18CC16-0BF4-4FB8-89A5-2BA18A683338}" name="Table5" displayName="Table5" ref="A1:F92" totalsRowShown="0" headerRowDxfId="2">
  <autoFilter ref="A1:F92" xr:uid="{7D18CC16-0BF4-4FB8-89A5-2BA18A683338}"/>
  <tableColumns count="6">
    <tableColumn id="1" xr3:uid="{9ED35F76-4BF0-4EF5-9967-4A92F7C8B24F}" name="CAS"/>
    <tableColumn id="2" xr3:uid="{86F7B221-40C1-4312-B43D-42A307F60935}" name="Chemical name"/>
    <tableColumn id="3" xr3:uid="{D6F872AB-E6C1-4109-A507-A70D8B67BF0E}" name="Chemical formula"/>
    <tableColumn id="4" xr3:uid="{61A2E373-4720-4E3F-85F2-46DC36642DF4}" name=" molar mass_x000a_ (g/mol)" dataDxfId="1"/>
    <tableColumn id="5" xr3:uid="{148E099B-9816-4F73-AFB2-FBC862C1C1CA}" name=" density_x000a_(kg/L)" dataDxfId="0"/>
    <tableColumn id="6" xr3:uid="{AF1D44C9-D437-45B8-BAE2-78122E2AA83E}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B1" dT="2024-03-22T13:47:11.13" personId="{7125213A-9BAD-4E69-850F-C0F3217C991C}" id="{0618DFBD-FA83-4D60-B6B9-75C007C5BDC1}">
    <text>Filled based on Min yield values</text>
  </threadedComment>
  <threadedComment ref="AI1" dT="2024-03-22T13:47:21.96" personId="{7125213A-9BAD-4E69-850F-C0F3217C991C}" id="{5ECD6178-0BB2-46B9-8D0D-C0BB294F66ED}">
    <text>Filled based on max output values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4-03-12T10:47:25.82" personId="{7125213A-9BAD-4E69-850F-C0F3217C991C}" id="{D58C3E4F-04CF-4681-BC4A-4C07555C6F6E}">
    <text>YELLOW: INPUTS</text>
  </threadedComment>
  <threadedComment ref="J1" dT="2024-03-12T08:55:59.37" personId="{7125213A-9BAD-4E69-850F-C0F3217C991C}" id="{64E0EC84-4B7E-42AF-B4BE-341DB98690A9}">
    <text>Specify: L or kg</text>
  </threadedComment>
  <threadedComment ref="L1" dT="2024-03-12T10:47:35.17" personId="{7125213A-9BAD-4E69-850F-C0F3217C991C}" id="{AC391CA2-8EA6-4C91-8956-DDACD0C7FB58}">
    <text>DARK BLUE: OUTPUTS</text>
  </threadedComment>
  <threadedComment ref="P1" dT="2024-03-12T10:47:46.17" personId="{7125213A-9BAD-4E69-850F-C0F3217C991C}" id="{875EDD57-7D2E-464C-BAC1-A268CD5ADEE9}">
    <text>INPUTS</text>
  </threadedComment>
  <threadedComment ref="Q1" dT="2024-03-12T09:04:24.75" personId="{7125213A-9BAD-4E69-850F-C0F3217C991C}" id="{5AE09230-A91E-4BEE-9EF1-EA2C9C93B8F9}">
    <text>Price request / Order</text>
  </threadedComment>
  <threadedComment ref="S5" dT="2024-03-12T10:12:10.73" personId="{7125213A-9BAD-4E69-850F-C0F3217C991C}" id="{B07B2DA6-B759-44AD-ABDC-3A4647D960C7}">
    <text xml:space="preserve">Overwrite automatic value if needed
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3-14T07:28:54.25" personId="{7125213A-9BAD-4E69-850F-C0F3217C991C}" id="{AC035DFB-AD5C-49AF-9C3D-025516824B69}">
    <text>YELLOW: INPUTS</text>
  </threadedComment>
  <threadedComment ref="E1" dT="2024-03-14T07:29:02.13" personId="{7125213A-9BAD-4E69-850F-C0F3217C991C}" id="{BD2E7CB9-C79C-475B-8D0E-38EC3E88A487}">
    <text>BLUE: OUTPUTS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3-12T11:13:45.02" personId="{7125213A-9BAD-4E69-850F-C0F3217C991C}" id="{3FE5AAEB-84C6-4AC0-88B0-6E0CEAF26812}">
    <text>Do not modify</text>
  </threadedComment>
  <threadedComment ref="A2" dT="2024-03-12T11:13:45.02" personId="{7125213A-9BAD-4E69-850F-C0F3217C991C}" id="{3A6992AF-94D5-439D-BF78-25FE3FD09E0E}">
    <text>Do not modify global parameters</text>
  </threadedComment>
  <threadedComment ref="E4" dT="2024-03-12T11:29:38.25" personId="{7125213A-9BAD-4E69-850F-C0F3217C991C}" id="{E8CF2928-1585-4E08-81F6-CAF0F0C4EFBA}">
    <text>Reasoning for changes from last version. General comments</text>
  </threadedComment>
  <threadedComment ref="E5" dT="2024-03-15T09:54:03.95" personId="{7125213A-9BAD-4E69-850F-C0F3217C991C}" id="{1385D39E-098B-4C18-91EA-F025D3E5CAE3}">
    <text>Description of output amounts, brief overview of contents</text>
  </threadedComment>
  <threadedComment ref="A7" dT="2024-03-12T11:13:59.94" personId="{7125213A-9BAD-4E69-850F-C0F3217C991C}" id="{9A7CD706-B6E3-44C3-8790-A98A60324C3C}">
    <text>Select appropriate values</text>
  </threadedComment>
  <threadedComment ref="B7" dT="2024-03-12T10:36:51.92" personId="{7125213A-9BAD-4E69-850F-C0F3217C991C}" id="{84B99A2A-6FCB-43C3-AC4B-3250ACB809C3}">
    <text>Use chemical calculation with min, average or max yield values in the Chemicals sheets.</text>
  </threadedComment>
  <threadedComment ref="B7" dT="2024-03-12T11:21:26.38" personId="{7125213A-9BAD-4E69-850F-C0F3217C991C}" id="{C639F390-6B3F-4C88-B408-ABDC21D6E3B4}" parentId="{84B99A2A-6FCB-43C3-AC4B-3250ACB809C3}">
    <text>Not that Min and Max yield info is hidden by default if "PGI column" selection is RnD</text>
  </threadedComment>
  <threadedComment ref="A8" dT="2024-03-12T10:36:51.92" personId="{7125213A-9BAD-4E69-850F-C0F3217C991C}" id="{EED3268D-8341-413B-B425-887043E8C733}">
    <text>Use chemical calculation with min, average or max yield values in the Chemicals sheets.</text>
  </threadedComment>
  <threadedComment ref="A8" dT="2024-03-12T11:21:26.38" personId="{7125213A-9BAD-4E69-850F-C0F3217C991C}" id="{3916AE94-9B69-48E8-918A-2D5CE510BCDA}" parentId="{EED3268D-8341-413B-B425-887043E8C733}">
    <text>Not that Min and Max yield info is hidden by default if "PGI column" selection is RnD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2AA75-D17B-4F00-88EB-50CDC0BD430C}">
  <sheetPr>
    <pageSetUpPr fitToPage="1"/>
  </sheetPr>
  <dimension ref="A1:AB203"/>
  <sheetViews>
    <sheetView topLeftCell="A116" zoomScale="85" zoomScaleNormal="85" workbookViewId="0">
      <selection activeCell="G154" sqref="G154"/>
    </sheetView>
  </sheetViews>
  <sheetFormatPr defaultRowHeight="15" x14ac:dyDescent="0.25"/>
  <cols>
    <col min="1" max="1" width="9.140625" customWidth="1"/>
    <col min="2" max="2" width="14.28515625" customWidth="1"/>
    <col min="3" max="3" width="12.28515625" customWidth="1"/>
    <col min="4" max="4" width="30.28515625" customWidth="1"/>
    <col min="5" max="5" width="10.140625" customWidth="1"/>
    <col min="6" max="6" width="15.28515625" customWidth="1"/>
    <col min="7" max="7" width="13.7109375" style="1" customWidth="1"/>
    <col min="8" max="8" width="10.7109375" style="1" customWidth="1"/>
    <col min="9" max="11" width="9.140625" customWidth="1"/>
    <col min="12" max="12" width="8.28515625" customWidth="1"/>
    <col min="13" max="13" width="5.7109375" customWidth="1"/>
    <col min="14" max="15" width="9.140625" customWidth="1"/>
    <col min="16" max="21" width="4.85546875" customWidth="1"/>
    <col min="22" max="22" width="53.140625" customWidth="1"/>
    <col min="25" max="25" width="28.28515625" customWidth="1"/>
    <col min="26" max="26" width="9.140625" style="1" customWidth="1"/>
    <col min="27" max="27" width="12.85546875" style="1" bestFit="1" customWidth="1"/>
    <col min="28" max="28" width="58.28515625" bestFit="1" customWidth="1"/>
  </cols>
  <sheetData>
    <row r="1" spans="1:28" s="173" customFormat="1" ht="27.75" customHeight="1" x14ac:dyDescent="0.25">
      <c r="B1" s="174"/>
      <c r="C1" s="174"/>
      <c r="D1" s="174"/>
      <c r="E1" s="174"/>
      <c r="F1" s="174"/>
      <c r="G1" s="246"/>
      <c r="H1" s="246"/>
      <c r="I1" s="174"/>
      <c r="J1" s="174"/>
      <c r="K1" s="174"/>
      <c r="L1" s="174"/>
      <c r="M1" s="174"/>
      <c r="N1" s="174"/>
      <c r="O1" s="174"/>
      <c r="P1" s="309" t="s">
        <v>664</v>
      </c>
      <c r="Q1" s="310"/>
      <c r="R1" s="310"/>
      <c r="S1" s="310"/>
      <c r="T1" s="310"/>
      <c r="U1" s="311"/>
      <c r="V1" s="174"/>
      <c r="Z1" s="255"/>
      <c r="AA1" s="255"/>
    </row>
    <row r="2" spans="1:28" s="173" customFormat="1" ht="105.75" thickBot="1" x14ac:dyDescent="0.3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247" t="s">
        <v>264</v>
      </c>
      <c r="H2" s="28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170" t="s">
        <v>272</v>
      </c>
      <c r="P2" s="192" t="s">
        <v>665</v>
      </c>
      <c r="Q2" s="192" t="s">
        <v>666</v>
      </c>
      <c r="R2" s="192" t="s">
        <v>667</v>
      </c>
      <c r="S2" s="192" t="s">
        <v>668</v>
      </c>
      <c r="T2" s="192" t="s">
        <v>669</v>
      </c>
      <c r="U2" s="192" t="s">
        <v>670</v>
      </c>
      <c r="V2" s="167" t="s">
        <v>183</v>
      </c>
      <c r="Z2" s="275" t="s">
        <v>878</v>
      </c>
      <c r="AA2" s="275" t="s">
        <v>879</v>
      </c>
    </row>
    <row r="3" spans="1:28" s="173" customFormat="1" ht="30" x14ac:dyDescent="0.25">
      <c r="A3" s="193" t="s">
        <v>671</v>
      </c>
      <c r="B3" s="193" t="s">
        <v>673</v>
      </c>
      <c r="C3" s="298" t="s">
        <v>709</v>
      </c>
      <c r="D3" s="238" t="s">
        <v>749</v>
      </c>
      <c r="E3" s="175"/>
      <c r="F3" s="193" t="s">
        <v>674</v>
      </c>
      <c r="G3" s="248" t="s">
        <v>485</v>
      </c>
      <c r="H3" s="176"/>
      <c r="I3" s="193" t="s">
        <v>333</v>
      </c>
      <c r="J3" s="175"/>
      <c r="K3" s="175"/>
      <c r="L3" s="175">
        <v>1</v>
      </c>
      <c r="M3" s="175">
        <v>1</v>
      </c>
      <c r="N3" s="175"/>
      <c r="O3" s="195"/>
      <c r="P3" s="198"/>
      <c r="Q3" s="199"/>
      <c r="R3" s="199"/>
      <c r="S3" s="237" t="s">
        <v>644</v>
      </c>
      <c r="T3" s="199"/>
      <c r="U3" s="200"/>
      <c r="V3" s="196"/>
      <c r="Y3" s="265" t="s">
        <v>598</v>
      </c>
      <c r="Z3" s="255"/>
      <c r="AA3" s="255"/>
    </row>
    <row r="4" spans="1:28" s="173" customFormat="1" ht="30" x14ac:dyDescent="0.25">
      <c r="A4" s="175"/>
      <c r="B4" s="175"/>
      <c r="C4" s="175"/>
      <c r="D4" s="175"/>
      <c r="E4" s="175"/>
      <c r="F4" s="193" t="s">
        <v>675</v>
      </c>
      <c r="G4" s="248" t="s">
        <v>676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238" t="s">
        <v>644</v>
      </c>
      <c r="T4" s="175"/>
      <c r="U4" s="202"/>
      <c r="V4" s="196"/>
      <c r="Y4" s="265" t="s">
        <v>679</v>
      </c>
      <c r="Z4" s="255">
        <f>G15+G30+G45</f>
        <v>62.474576271186436</v>
      </c>
      <c r="AA4" s="255">
        <v>80</v>
      </c>
      <c r="AB4" s="265" t="s">
        <v>896</v>
      </c>
    </row>
    <row r="5" spans="1:28" s="173" customFormat="1" ht="30" x14ac:dyDescent="0.25">
      <c r="A5" s="175"/>
      <c r="B5" s="175"/>
      <c r="C5" s="175"/>
      <c r="D5" s="175"/>
      <c r="E5" s="175"/>
      <c r="F5" s="193" t="s">
        <v>677</v>
      </c>
      <c r="G5" s="248" t="s">
        <v>678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238" t="s">
        <v>644</v>
      </c>
      <c r="T5" s="175"/>
      <c r="U5" s="202"/>
      <c r="V5" s="196"/>
      <c r="Y5" s="265" t="s">
        <v>680</v>
      </c>
      <c r="Z5" s="255">
        <f>G20</f>
        <v>8</v>
      </c>
      <c r="AA5" s="276">
        <v>2</v>
      </c>
      <c r="AB5" s="265" t="s">
        <v>890</v>
      </c>
    </row>
    <row r="6" spans="1:28" s="173" customFormat="1" ht="30" x14ac:dyDescent="0.25">
      <c r="A6" s="193" t="s">
        <v>671</v>
      </c>
      <c r="B6" s="175" t="s">
        <v>273</v>
      </c>
      <c r="C6" s="298" t="s">
        <v>958</v>
      </c>
      <c r="D6" s="193" t="s">
        <v>685</v>
      </c>
      <c r="E6" s="193" t="s">
        <v>598</v>
      </c>
      <c r="F6" s="175" t="s">
        <v>274</v>
      </c>
      <c r="G6" s="249" t="s">
        <v>502</v>
      </c>
      <c r="H6" s="176"/>
      <c r="I6" s="175" t="s">
        <v>366</v>
      </c>
      <c r="J6" s="175"/>
      <c r="K6" s="175"/>
      <c r="L6" s="175">
        <v>1</v>
      </c>
      <c r="M6" s="175">
        <v>1</v>
      </c>
      <c r="N6" s="175"/>
      <c r="O6" s="195"/>
      <c r="P6" s="201"/>
      <c r="Q6" s="175"/>
      <c r="R6" s="175"/>
      <c r="S6" s="238" t="s">
        <v>644</v>
      </c>
      <c r="T6" s="175"/>
      <c r="U6" s="202"/>
      <c r="V6" s="196"/>
      <c r="Y6" s="265" t="s">
        <v>683</v>
      </c>
      <c r="Z6" s="255">
        <f>G25</f>
        <v>12.63728813559322</v>
      </c>
      <c r="AA6" s="255">
        <v>15</v>
      </c>
      <c r="AB6" s="265" t="s">
        <v>897</v>
      </c>
    </row>
    <row r="7" spans="1:28" s="173" customFormat="1" x14ac:dyDescent="0.25">
      <c r="A7" s="175"/>
      <c r="B7" s="175"/>
      <c r="C7" s="175"/>
      <c r="D7" s="175"/>
      <c r="E7" s="175"/>
      <c r="F7" s="175" t="s">
        <v>290</v>
      </c>
      <c r="G7" s="249" t="s">
        <v>750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238" t="s">
        <v>644</v>
      </c>
      <c r="U7" s="202"/>
      <c r="V7" s="196"/>
      <c r="Y7" s="265" t="s">
        <v>682</v>
      </c>
      <c r="Z7" s="255">
        <f>G40</f>
        <v>11.959322033898305</v>
      </c>
      <c r="AA7" s="280" t="s">
        <v>892</v>
      </c>
      <c r="AB7" s="265" t="s">
        <v>891</v>
      </c>
    </row>
    <row r="8" spans="1:28" x14ac:dyDescent="0.25">
      <c r="A8" s="175"/>
      <c r="B8" s="175"/>
      <c r="C8" s="175"/>
      <c r="D8" s="175"/>
      <c r="E8" s="175"/>
      <c r="F8" s="175" t="s">
        <v>277</v>
      </c>
      <c r="G8" s="249" t="s">
        <v>502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238" t="s">
        <v>644</v>
      </c>
      <c r="U8" s="202"/>
      <c r="V8" s="196"/>
      <c r="Y8" s="265" t="s">
        <v>81</v>
      </c>
      <c r="Z8" s="1">
        <f>G103+G126+G130</f>
        <v>36.840677966101687</v>
      </c>
      <c r="AA8" s="1">
        <v>50</v>
      </c>
      <c r="AB8" s="265" t="s">
        <v>898</v>
      </c>
    </row>
    <row r="9" spans="1:28" x14ac:dyDescent="0.25">
      <c r="A9" s="175"/>
      <c r="B9" s="175"/>
      <c r="C9" s="175"/>
      <c r="D9" s="175"/>
      <c r="E9" s="175"/>
      <c r="F9" s="175" t="s">
        <v>278</v>
      </c>
      <c r="G9" s="249" t="s">
        <v>502</v>
      </c>
      <c r="H9" s="176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238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279</v>
      </c>
      <c r="G10" s="249" t="s">
        <v>751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238" t="s">
        <v>644</v>
      </c>
      <c r="U10" s="202"/>
      <c r="V10" s="196"/>
    </row>
    <row r="11" spans="1:28" ht="30" x14ac:dyDescent="0.25">
      <c r="A11" s="193" t="s">
        <v>672</v>
      </c>
      <c r="B11" s="175" t="s">
        <v>338</v>
      </c>
      <c r="C11" s="298" t="s">
        <v>709</v>
      </c>
      <c r="D11" s="193" t="s">
        <v>686</v>
      </c>
      <c r="E11" s="175"/>
      <c r="F11" s="175" t="s">
        <v>290</v>
      </c>
      <c r="G11" s="248" t="s">
        <v>752</v>
      </c>
      <c r="H11" s="176"/>
      <c r="I11" s="175"/>
      <c r="J11" s="175"/>
      <c r="K11" s="175"/>
      <c r="L11" s="175">
        <v>1</v>
      </c>
      <c r="M11" s="175">
        <v>1</v>
      </c>
      <c r="N11" s="175"/>
      <c r="O11" s="195"/>
      <c r="P11" s="201"/>
      <c r="Q11" s="175"/>
      <c r="R11" s="175"/>
      <c r="S11" s="175"/>
      <c r="T11" s="238" t="s">
        <v>644</v>
      </c>
      <c r="U11" s="202"/>
      <c r="V11" s="196"/>
      <c r="Y11" s="173"/>
      <c r="Z11" s="275" t="s">
        <v>878</v>
      </c>
      <c r="AA11" s="275" t="s">
        <v>879</v>
      </c>
    </row>
    <row r="12" spans="1:28" x14ac:dyDescent="0.25">
      <c r="A12" s="175"/>
      <c r="B12" s="175"/>
      <c r="C12" s="175"/>
      <c r="D12" s="175"/>
      <c r="E12" s="175"/>
      <c r="F12" s="175" t="s">
        <v>291</v>
      </c>
      <c r="G12" s="250"/>
      <c r="H12" s="176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238" t="s">
        <v>644</v>
      </c>
      <c r="T12" s="175"/>
      <c r="U12" s="202"/>
      <c r="V12" s="196"/>
      <c r="Y12" s="173" t="s">
        <v>365</v>
      </c>
      <c r="Z12" s="255">
        <v>36.54</v>
      </c>
      <c r="AA12" s="285" t="s">
        <v>895</v>
      </c>
      <c r="AB12" t="s">
        <v>888</v>
      </c>
    </row>
    <row r="13" spans="1:28" ht="30" x14ac:dyDescent="0.25">
      <c r="A13" s="175"/>
      <c r="B13" s="175"/>
      <c r="C13" s="175"/>
      <c r="D13" s="175"/>
      <c r="E13" s="175"/>
      <c r="F13" s="175" t="s">
        <v>292</v>
      </c>
      <c r="G13" s="176" t="s">
        <v>507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238" t="s">
        <v>644</v>
      </c>
      <c r="U13" s="202"/>
      <c r="V13" s="196"/>
      <c r="Y13" s="173" t="s">
        <v>244</v>
      </c>
      <c r="Z13" s="255">
        <v>6</v>
      </c>
      <c r="AA13" s="281">
        <v>6</v>
      </c>
      <c r="AB13" s="282">
        <v>45631</v>
      </c>
    </row>
    <row r="14" spans="1:28" x14ac:dyDescent="0.25">
      <c r="A14" s="175"/>
      <c r="B14" s="175"/>
      <c r="C14" s="175"/>
      <c r="D14" s="175"/>
      <c r="E14" s="175"/>
      <c r="F14" s="175" t="s">
        <v>278</v>
      </c>
      <c r="G14" s="248" t="s">
        <v>502</v>
      </c>
      <c r="H14" s="176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238" t="s">
        <v>644</v>
      </c>
      <c r="U14" s="202"/>
      <c r="V14" s="196"/>
      <c r="Y14" s="173" t="s">
        <v>246</v>
      </c>
      <c r="Z14" s="255">
        <v>9.06</v>
      </c>
      <c r="AA14" s="278"/>
    </row>
    <row r="15" spans="1:28" s="173" customFormat="1" ht="30" x14ac:dyDescent="0.25">
      <c r="A15" s="193" t="s">
        <v>671</v>
      </c>
      <c r="B15" s="175" t="s">
        <v>273</v>
      </c>
      <c r="C15" s="298" t="s">
        <v>958</v>
      </c>
      <c r="D15" s="238" t="s">
        <v>796</v>
      </c>
      <c r="E15" s="193" t="s">
        <v>679</v>
      </c>
      <c r="F15" s="175" t="s">
        <v>274</v>
      </c>
      <c r="G15" s="176">
        <f>44.6/5.9*G20</f>
        <v>60.474576271186436</v>
      </c>
      <c r="H15" s="176"/>
      <c r="I15" s="175" t="s">
        <v>366</v>
      </c>
      <c r="J15" s="175"/>
      <c r="K15" s="175"/>
      <c r="L15" s="175">
        <v>2</v>
      </c>
      <c r="M15" s="175">
        <v>1</v>
      </c>
      <c r="N15" s="175"/>
      <c r="O15" s="195"/>
      <c r="P15" s="201"/>
      <c r="Q15" s="175"/>
      <c r="R15" s="175"/>
      <c r="S15" s="238" t="s">
        <v>644</v>
      </c>
      <c r="T15" s="175"/>
      <c r="U15" s="202"/>
      <c r="V15" s="196"/>
      <c r="Y15" s="173" t="s">
        <v>247</v>
      </c>
      <c r="Z15" s="255">
        <v>26.772000000000006</v>
      </c>
      <c r="AA15" s="281">
        <v>30</v>
      </c>
      <c r="AB15" s="284">
        <v>45638</v>
      </c>
    </row>
    <row r="16" spans="1:28" s="173" customFormat="1" x14ac:dyDescent="0.25">
      <c r="A16" s="175"/>
      <c r="B16" s="175"/>
      <c r="C16" s="175"/>
      <c r="D16" s="175"/>
      <c r="E16" s="175"/>
      <c r="F16" s="175" t="s">
        <v>290</v>
      </c>
      <c r="G16" s="176" t="s">
        <v>633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238" t="s">
        <v>644</v>
      </c>
      <c r="U16" s="202"/>
      <c r="V16" s="196"/>
      <c r="Y16" s="173" t="s">
        <v>524</v>
      </c>
      <c r="Z16" s="255">
        <f>14+Z31</f>
        <v>14</v>
      </c>
      <c r="AA16" s="255">
        <v>40</v>
      </c>
      <c r="AB16" s="265" t="s">
        <v>887</v>
      </c>
    </row>
    <row r="17" spans="1:28" x14ac:dyDescent="0.25">
      <c r="A17" s="175"/>
      <c r="B17" s="175"/>
      <c r="C17" s="175"/>
      <c r="D17" s="175"/>
      <c r="E17" s="175"/>
      <c r="F17" s="175" t="s">
        <v>277</v>
      </c>
      <c r="G17" s="249" t="s">
        <v>753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238" t="s">
        <v>644</v>
      </c>
      <c r="U17" s="202"/>
      <c r="V17" s="196"/>
      <c r="Y17" s="173" t="s">
        <v>536</v>
      </c>
      <c r="Z17" s="255">
        <f>28+4.3+4.5</f>
        <v>36.799999999999997</v>
      </c>
      <c r="AA17" s="255">
        <v>50</v>
      </c>
      <c r="AB17" t="s">
        <v>899</v>
      </c>
    </row>
    <row r="18" spans="1:28" x14ac:dyDescent="0.25">
      <c r="A18" s="175"/>
      <c r="B18" s="175"/>
      <c r="C18" s="175"/>
      <c r="D18" s="175"/>
      <c r="E18" s="175"/>
      <c r="F18" s="175" t="s">
        <v>278</v>
      </c>
      <c r="G18" s="176" t="s">
        <v>323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238" t="s">
        <v>644</v>
      </c>
      <c r="U18" s="202"/>
      <c r="V18" s="196"/>
    </row>
    <row r="19" spans="1:28" x14ac:dyDescent="0.25">
      <c r="A19" s="175"/>
      <c r="B19" s="175"/>
      <c r="C19" s="175"/>
      <c r="D19" s="175"/>
      <c r="E19" s="175"/>
      <c r="F19" s="175" t="s">
        <v>279</v>
      </c>
      <c r="G19" s="176" t="s">
        <v>306</v>
      </c>
      <c r="H19" s="176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/>
      <c r="T19" s="238" t="s">
        <v>644</v>
      </c>
      <c r="U19" s="202"/>
      <c r="V19" s="196"/>
    </row>
    <row r="20" spans="1:28" ht="30" x14ac:dyDescent="0.25">
      <c r="A20" s="193" t="s">
        <v>671</v>
      </c>
      <c r="B20" s="175" t="s">
        <v>273</v>
      </c>
      <c r="C20" s="298" t="s">
        <v>958</v>
      </c>
      <c r="D20" s="238" t="s">
        <v>797</v>
      </c>
      <c r="E20" s="193" t="s">
        <v>680</v>
      </c>
      <c r="F20" s="175" t="s">
        <v>274</v>
      </c>
      <c r="G20" s="251">
        <v>8</v>
      </c>
      <c r="H20" s="176"/>
      <c r="I20" s="175" t="s">
        <v>366</v>
      </c>
      <c r="J20" s="175"/>
      <c r="K20" s="175"/>
      <c r="L20" s="175">
        <v>2</v>
      </c>
      <c r="M20" s="175">
        <v>1</v>
      </c>
      <c r="N20" s="175"/>
      <c r="O20" s="195"/>
      <c r="P20" s="201"/>
      <c r="Q20" s="175"/>
      <c r="R20" s="175"/>
      <c r="S20" s="238" t="s">
        <v>644</v>
      </c>
      <c r="T20" s="175"/>
      <c r="U20" s="202"/>
      <c r="V20" s="240" t="s">
        <v>754</v>
      </c>
      <c r="Z20" s="275" t="s">
        <v>878</v>
      </c>
      <c r="AA20" s="275" t="s">
        <v>879</v>
      </c>
    </row>
    <row r="21" spans="1:28" x14ac:dyDescent="0.25">
      <c r="A21" s="175"/>
      <c r="B21" s="175"/>
      <c r="C21" s="175"/>
      <c r="D21" s="175"/>
      <c r="E21" s="175"/>
      <c r="F21" s="175" t="s">
        <v>290</v>
      </c>
      <c r="G21" s="249" t="s">
        <v>323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/>
      <c r="T21" s="238" t="s">
        <v>644</v>
      </c>
      <c r="U21" s="202"/>
      <c r="V21" s="196"/>
      <c r="Y21" t="s">
        <v>7</v>
      </c>
      <c r="Z21" s="1">
        <v>8</v>
      </c>
      <c r="AA21" s="277"/>
    </row>
    <row r="22" spans="1:28" x14ac:dyDescent="0.25">
      <c r="A22" s="175"/>
      <c r="B22" s="175"/>
      <c r="C22" s="175"/>
      <c r="D22" s="175"/>
      <c r="E22" s="175"/>
      <c r="F22" s="175" t="s">
        <v>277</v>
      </c>
      <c r="G22" s="249" t="s">
        <v>753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238" t="s">
        <v>644</v>
      </c>
      <c r="U22" s="202"/>
      <c r="V22" s="196"/>
      <c r="Y22" t="s">
        <v>252</v>
      </c>
      <c r="Z22" s="1">
        <f>116.1+10</f>
        <v>126.1</v>
      </c>
      <c r="AA22" s="1">
        <v>200</v>
      </c>
      <c r="AB22" t="s">
        <v>900</v>
      </c>
    </row>
    <row r="23" spans="1:28" x14ac:dyDescent="0.25">
      <c r="A23" s="175"/>
      <c r="B23" s="175"/>
      <c r="C23" s="175"/>
      <c r="D23" s="175"/>
      <c r="E23" s="175"/>
      <c r="F23" s="175" t="s">
        <v>278</v>
      </c>
      <c r="G23" s="249" t="s">
        <v>305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238" t="s">
        <v>644</v>
      </c>
      <c r="U23" s="202"/>
      <c r="V23" s="196"/>
      <c r="Y23" t="s">
        <v>104</v>
      </c>
      <c r="Z23" s="1">
        <v>51.8</v>
      </c>
      <c r="AA23" s="283">
        <v>110</v>
      </c>
      <c r="AB23" s="282">
        <v>45653</v>
      </c>
    </row>
    <row r="24" spans="1:28" x14ac:dyDescent="0.25">
      <c r="A24" s="175"/>
      <c r="B24" s="175"/>
      <c r="C24" s="175"/>
      <c r="D24" s="175"/>
      <c r="E24" s="175"/>
      <c r="F24" s="175" t="s">
        <v>279</v>
      </c>
      <c r="G24" s="176" t="s">
        <v>306</v>
      </c>
      <c r="H24" s="176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238" t="s">
        <v>644</v>
      </c>
      <c r="U24" s="202"/>
      <c r="V24" s="196"/>
      <c r="Y24" t="s">
        <v>249</v>
      </c>
      <c r="Z24" s="1">
        <v>19.54</v>
      </c>
      <c r="AA24" s="283" t="s">
        <v>893</v>
      </c>
      <c r="AB24" t="s">
        <v>889</v>
      </c>
    </row>
    <row r="25" spans="1:28" ht="30" x14ac:dyDescent="0.25">
      <c r="A25" s="193" t="s">
        <v>671</v>
      </c>
      <c r="B25" s="175" t="s">
        <v>273</v>
      </c>
      <c r="C25" s="298" t="s">
        <v>958</v>
      </c>
      <c r="D25" s="238" t="s">
        <v>798</v>
      </c>
      <c r="E25" s="193" t="s">
        <v>683</v>
      </c>
      <c r="F25" s="175" t="s">
        <v>274</v>
      </c>
      <c r="G25" s="176">
        <f>9.32/5.9*G20</f>
        <v>12.63728813559322</v>
      </c>
      <c r="H25" s="176"/>
      <c r="I25" s="175" t="s">
        <v>366</v>
      </c>
      <c r="J25" s="175"/>
      <c r="K25" s="175"/>
      <c r="L25" s="175">
        <v>2</v>
      </c>
      <c r="M25" s="175">
        <v>1</v>
      </c>
      <c r="N25" s="175"/>
      <c r="O25" s="195"/>
      <c r="P25" s="201"/>
      <c r="Q25" s="175"/>
      <c r="R25" s="175"/>
      <c r="S25" s="238" t="s">
        <v>644</v>
      </c>
      <c r="T25" s="175"/>
      <c r="U25" s="202"/>
      <c r="V25" s="239" t="s">
        <v>755</v>
      </c>
      <c r="Y25" t="s">
        <v>287</v>
      </c>
      <c r="Z25" s="1">
        <v>46</v>
      </c>
    </row>
    <row r="26" spans="1:28" x14ac:dyDescent="0.25">
      <c r="A26" s="175"/>
      <c r="B26" s="175"/>
      <c r="C26" s="175"/>
      <c r="D26" s="175"/>
      <c r="E26" s="175"/>
      <c r="F26" s="175" t="s">
        <v>290</v>
      </c>
      <c r="G26" s="249" t="s">
        <v>323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238" t="s">
        <v>644</v>
      </c>
      <c r="U26" s="202"/>
      <c r="V26" s="240" t="s">
        <v>769</v>
      </c>
    </row>
    <row r="27" spans="1:28" x14ac:dyDescent="0.25">
      <c r="A27" s="175"/>
      <c r="B27" s="175"/>
      <c r="C27" s="175"/>
      <c r="D27" s="175"/>
      <c r="E27" s="175"/>
      <c r="F27" s="175" t="s">
        <v>277</v>
      </c>
      <c r="G27" s="249" t="s">
        <v>753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238" t="s">
        <v>644</v>
      </c>
      <c r="U27" s="202"/>
      <c r="V27" s="196"/>
    </row>
    <row r="28" spans="1:28" x14ac:dyDescent="0.25">
      <c r="A28" s="175"/>
      <c r="B28" s="175"/>
      <c r="C28" s="175"/>
      <c r="D28" s="175"/>
      <c r="E28" s="175"/>
      <c r="F28" s="175" t="s">
        <v>278</v>
      </c>
      <c r="G28" s="249" t="s">
        <v>305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238" t="s">
        <v>644</v>
      </c>
      <c r="U28" s="202"/>
      <c r="V28" s="196"/>
      <c r="Y28" s="185"/>
      <c r="Z28" s="275" t="s">
        <v>878</v>
      </c>
      <c r="AA28" s="275" t="s">
        <v>879</v>
      </c>
    </row>
    <row r="29" spans="1:28" ht="30" x14ac:dyDescent="0.25">
      <c r="A29" s="175"/>
      <c r="B29" s="175"/>
      <c r="C29" s="175"/>
      <c r="D29" s="175"/>
      <c r="E29" s="175"/>
      <c r="F29" s="175" t="s">
        <v>279</v>
      </c>
      <c r="G29" s="249" t="s">
        <v>756</v>
      </c>
      <c r="H29" s="176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/>
      <c r="T29" s="238" t="s">
        <v>644</v>
      </c>
      <c r="U29" s="202"/>
      <c r="V29" s="239" t="s">
        <v>757</v>
      </c>
      <c r="Y29" s="185" t="s">
        <v>12</v>
      </c>
      <c r="Z29" s="270">
        <v>4.3</v>
      </c>
      <c r="AA29" s="279"/>
    </row>
    <row r="30" spans="1:28" ht="30" x14ac:dyDescent="0.25">
      <c r="A30" s="193" t="s">
        <v>671</v>
      </c>
      <c r="B30" s="175" t="s">
        <v>273</v>
      </c>
      <c r="C30" s="298" t="s">
        <v>958</v>
      </c>
      <c r="D30" s="238" t="s">
        <v>799</v>
      </c>
      <c r="E30" s="193" t="s">
        <v>679</v>
      </c>
      <c r="F30" s="175" t="s">
        <v>274</v>
      </c>
      <c r="G30" s="176">
        <v>1</v>
      </c>
      <c r="H30" s="176"/>
      <c r="I30" s="175" t="s">
        <v>366</v>
      </c>
      <c r="J30" s="175"/>
      <c r="K30" s="175"/>
      <c r="L30" s="175">
        <v>2</v>
      </c>
      <c r="M30" s="175">
        <v>1</v>
      </c>
      <c r="N30" s="175"/>
      <c r="O30" s="195"/>
      <c r="P30" s="201"/>
      <c r="Q30" s="175"/>
      <c r="R30" s="175"/>
      <c r="S30" s="238" t="s">
        <v>644</v>
      </c>
      <c r="T30" s="175"/>
      <c r="U30" s="202"/>
      <c r="V30" s="196"/>
      <c r="Y30" s="185" t="s">
        <v>20</v>
      </c>
      <c r="Z30" s="270">
        <v>6.8409090909090899</v>
      </c>
      <c r="AA30" s="270"/>
    </row>
    <row r="31" spans="1:28" x14ac:dyDescent="0.25">
      <c r="A31" s="175"/>
      <c r="B31" s="175"/>
      <c r="C31" s="175"/>
      <c r="D31" s="175"/>
      <c r="E31" s="175"/>
      <c r="F31" s="175" t="s">
        <v>290</v>
      </c>
      <c r="G31" s="249" t="s">
        <v>323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238" t="s">
        <v>644</v>
      </c>
      <c r="U31" s="202"/>
      <c r="V31" s="196"/>
      <c r="Y31" s="185"/>
      <c r="Z31" s="270"/>
      <c r="AA31" s="270"/>
    </row>
    <row r="32" spans="1:28" x14ac:dyDescent="0.25">
      <c r="A32" s="175"/>
      <c r="B32" s="175"/>
      <c r="C32" s="175"/>
      <c r="D32" s="175"/>
      <c r="E32" s="175"/>
      <c r="F32" s="175" t="s">
        <v>277</v>
      </c>
      <c r="G32" s="249" t="s">
        <v>753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238" t="s">
        <v>644</v>
      </c>
      <c r="U32" s="202"/>
      <c r="V32" s="196"/>
      <c r="Y32" s="185" t="s">
        <v>591</v>
      </c>
      <c r="Z32" s="270">
        <v>31.27272727272727</v>
      </c>
      <c r="AA32" s="270"/>
    </row>
    <row r="33" spans="1:28" x14ac:dyDescent="0.25">
      <c r="A33" s="175"/>
      <c r="B33" s="175"/>
      <c r="C33" s="175"/>
      <c r="D33" s="175"/>
      <c r="E33" s="175"/>
      <c r="F33" s="175" t="s">
        <v>278</v>
      </c>
      <c r="G33" s="249" t="s">
        <v>305</v>
      </c>
      <c r="H33" s="176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/>
      <c r="T33" s="238" t="s">
        <v>644</v>
      </c>
      <c r="U33" s="202"/>
      <c r="V33" s="196"/>
      <c r="Y33" s="185" t="s">
        <v>536</v>
      </c>
      <c r="Z33" s="270">
        <v>4.3</v>
      </c>
      <c r="AA33" s="270"/>
    </row>
    <row r="34" spans="1:28" x14ac:dyDescent="0.25">
      <c r="A34" s="175"/>
      <c r="B34" s="175"/>
      <c r="C34" s="175"/>
      <c r="D34" s="175"/>
      <c r="E34" s="175"/>
      <c r="F34" s="175" t="s">
        <v>279</v>
      </c>
      <c r="G34" s="176" t="s">
        <v>306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238" t="s">
        <v>644</v>
      </c>
      <c r="U34" s="202"/>
      <c r="V34" s="196"/>
      <c r="Z34" s="275" t="s">
        <v>878</v>
      </c>
      <c r="AA34" s="275" t="s">
        <v>879</v>
      </c>
    </row>
    <row r="35" spans="1:28" ht="45" x14ac:dyDescent="0.25">
      <c r="A35" s="193" t="s">
        <v>671</v>
      </c>
      <c r="B35" s="193" t="s">
        <v>309</v>
      </c>
      <c r="C35" s="298" t="s">
        <v>709</v>
      </c>
      <c r="D35" s="193" t="s">
        <v>681</v>
      </c>
      <c r="E35" s="193"/>
      <c r="F35" s="175" t="s">
        <v>290</v>
      </c>
      <c r="G35" s="248" t="s">
        <v>684</v>
      </c>
      <c r="H35" s="176"/>
      <c r="I35" s="175" t="s">
        <v>366</v>
      </c>
      <c r="J35" s="175"/>
      <c r="K35" s="175"/>
      <c r="L35" s="175">
        <v>1</v>
      </c>
      <c r="M35" s="175">
        <v>1</v>
      </c>
      <c r="N35" s="175"/>
      <c r="O35" s="195"/>
      <c r="P35" s="201"/>
      <c r="Q35" s="175"/>
      <c r="R35" s="175"/>
      <c r="S35" s="175"/>
      <c r="T35" s="238" t="s">
        <v>644</v>
      </c>
      <c r="U35" s="202"/>
      <c r="V35" s="196"/>
      <c r="Y35" t="s">
        <v>392</v>
      </c>
      <c r="Z35" s="1">
        <v>2.29</v>
      </c>
      <c r="AA35" s="277"/>
    </row>
    <row r="36" spans="1:28" x14ac:dyDescent="0.25">
      <c r="A36" s="175"/>
      <c r="B36" s="175"/>
      <c r="C36" s="175"/>
      <c r="D36" s="175"/>
      <c r="E36" s="175"/>
      <c r="F36" s="175" t="s">
        <v>291</v>
      </c>
      <c r="G36" s="249" t="s">
        <v>753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238" t="s">
        <v>644</v>
      </c>
      <c r="T36" s="175"/>
      <c r="U36" s="202"/>
      <c r="V36" s="196"/>
      <c r="Y36" t="s">
        <v>391</v>
      </c>
      <c r="Z36" s="1">
        <v>5.3544104803493449</v>
      </c>
    </row>
    <row r="37" spans="1:28" ht="30" x14ac:dyDescent="0.25">
      <c r="A37" s="175"/>
      <c r="B37" s="175"/>
      <c r="C37" s="175"/>
      <c r="D37" s="175"/>
      <c r="E37" s="175"/>
      <c r="F37" s="175" t="s">
        <v>292</v>
      </c>
      <c r="G37" s="248" t="s">
        <v>308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238" t="s">
        <v>644</v>
      </c>
      <c r="U37" s="202"/>
      <c r="V37" s="196"/>
      <c r="Y37" t="s">
        <v>598</v>
      </c>
    </row>
    <row r="38" spans="1:28" x14ac:dyDescent="0.25">
      <c r="A38" s="175"/>
      <c r="B38" s="175"/>
      <c r="C38" s="175"/>
      <c r="D38" s="175"/>
      <c r="E38" s="175"/>
      <c r="F38" s="238" t="s">
        <v>758</v>
      </c>
      <c r="G38" s="249" t="s">
        <v>759</v>
      </c>
      <c r="H38" s="176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238" t="s">
        <v>760</v>
      </c>
      <c r="T38" s="238"/>
      <c r="U38" s="202"/>
      <c r="V38" s="196"/>
      <c r="Y38" t="s">
        <v>393</v>
      </c>
      <c r="Z38" s="1">
        <v>1.7811111111111113</v>
      </c>
      <c r="AA38" s="283" t="s">
        <v>894</v>
      </c>
      <c r="AB38" t="s">
        <v>886</v>
      </c>
    </row>
    <row r="39" spans="1:28" x14ac:dyDescent="0.25">
      <c r="A39" s="175"/>
      <c r="B39" s="175"/>
      <c r="C39" s="175"/>
      <c r="D39" s="175"/>
      <c r="E39" s="175"/>
      <c r="F39" s="175" t="s">
        <v>278</v>
      </c>
      <c r="G39" s="248" t="s">
        <v>500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238" t="s">
        <v>644</v>
      </c>
      <c r="T39" s="175"/>
      <c r="U39" s="202"/>
      <c r="V39" s="196"/>
      <c r="Y39" t="s">
        <v>252</v>
      </c>
      <c r="Z39" s="1">
        <v>10.901965811965814</v>
      </c>
    </row>
    <row r="40" spans="1:28" ht="60" x14ac:dyDescent="0.25">
      <c r="A40" s="193" t="s">
        <v>671</v>
      </c>
      <c r="B40" s="175" t="s">
        <v>273</v>
      </c>
      <c r="C40" s="298" t="s">
        <v>958</v>
      </c>
      <c r="D40" s="238" t="s">
        <v>800</v>
      </c>
      <c r="E40" s="193" t="s">
        <v>682</v>
      </c>
      <c r="F40" s="175" t="s">
        <v>274</v>
      </c>
      <c r="G40" s="176">
        <f>8.82/5.9*G20</f>
        <v>11.959322033898305</v>
      </c>
      <c r="H40" s="176">
        <f>G15/1.33+G25</f>
        <v>58.106894354530382</v>
      </c>
      <c r="I40" s="175" t="s">
        <v>366</v>
      </c>
      <c r="J40" s="175"/>
      <c r="K40" s="175"/>
      <c r="L40" s="175">
        <v>2</v>
      </c>
      <c r="M40" s="175">
        <v>1</v>
      </c>
      <c r="N40" s="175"/>
      <c r="O40" s="195"/>
      <c r="P40" s="201"/>
      <c r="Q40" s="175"/>
      <c r="R40" s="175"/>
      <c r="S40" s="238" t="s">
        <v>644</v>
      </c>
      <c r="T40" s="175"/>
      <c r="U40" s="202"/>
      <c r="V40" s="239" t="s">
        <v>795</v>
      </c>
      <c r="Y40" t="s">
        <v>883</v>
      </c>
      <c r="Z40" s="1">
        <v>66.547008547008559</v>
      </c>
    </row>
    <row r="41" spans="1:28" x14ac:dyDescent="0.25">
      <c r="A41" s="175"/>
      <c r="B41" s="175"/>
      <c r="C41" s="175"/>
      <c r="D41" s="175"/>
      <c r="E41" s="175"/>
      <c r="F41" s="175" t="s">
        <v>290</v>
      </c>
      <c r="G41" s="248" t="s">
        <v>684</v>
      </c>
      <c r="H41" s="176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238" t="s">
        <v>644</v>
      </c>
      <c r="U41" s="202"/>
      <c r="V41" s="239" t="s">
        <v>763</v>
      </c>
      <c r="Y41" t="s">
        <v>884</v>
      </c>
      <c r="Z41" s="1">
        <v>21.529914529914532</v>
      </c>
    </row>
    <row r="42" spans="1:28" x14ac:dyDescent="0.25">
      <c r="A42" s="175"/>
      <c r="B42" s="175"/>
      <c r="C42" s="175"/>
      <c r="D42" s="175"/>
      <c r="E42" s="175"/>
      <c r="F42" s="175" t="s">
        <v>277</v>
      </c>
      <c r="G42" s="250" t="s">
        <v>761</v>
      </c>
      <c r="H42" s="176"/>
      <c r="I42" s="175"/>
      <c r="J42" s="175"/>
      <c r="K42" s="175"/>
      <c r="L42" s="175"/>
      <c r="M42" s="175"/>
      <c r="N42" s="175"/>
      <c r="O42" s="195"/>
      <c r="P42" s="201"/>
      <c r="Q42" s="244" t="s">
        <v>644</v>
      </c>
      <c r="R42" s="175"/>
      <c r="S42" s="238"/>
      <c r="T42" s="175"/>
      <c r="U42" s="202"/>
      <c r="V42" s="239" t="s">
        <v>764</v>
      </c>
      <c r="Y42" t="s">
        <v>398</v>
      </c>
      <c r="Z42" s="1">
        <v>31.316239316239319</v>
      </c>
    </row>
    <row r="43" spans="1:28" x14ac:dyDescent="0.25">
      <c r="A43" s="175"/>
      <c r="B43" s="175"/>
      <c r="C43" s="175"/>
      <c r="D43" s="175"/>
      <c r="E43" s="175"/>
      <c r="F43" s="175" t="s">
        <v>278</v>
      </c>
      <c r="G43" s="176" t="s">
        <v>323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238" t="s">
        <v>644</v>
      </c>
      <c r="U43" s="202"/>
      <c r="V43" s="240" t="s">
        <v>765</v>
      </c>
      <c r="Y43" t="s">
        <v>432</v>
      </c>
      <c r="Z43" s="1">
        <v>1.5775555555555558</v>
      </c>
    </row>
    <row r="44" spans="1:28" ht="45" x14ac:dyDescent="0.25">
      <c r="A44" s="175"/>
      <c r="B44" s="175"/>
      <c r="C44" s="175"/>
      <c r="D44" s="175"/>
      <c r="E44" s="175"/>
      <c r="F44" s="175" t="s">
        <v>279</v>
      </c>
      <c r="G44" s="249" t="s">
        <v>762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/>
      <c r="T44" s="238" t="s">
        <v>644</v>
      </c>
      <c r="U44" s="202"/>
      <c r="V44" s="239" t="s">
        <v>766</v>
      </c>
      <c r="Y44" t="s">
        <v>536</v>
      </c>
      <c r="Z44" s="1">
        <v>4.5</v>
      </c>
    </row>
    <row r="45" spans="1:28" ht="30" x14ac:dyDescent="0.25">
      <c r="A45" s="193" t="s">
        <v>671</v>
      </c>
      <c r="B45" s="175" t="s">
        <v>273</v>
      </c>
      <c r="C45" s="298" t="s">
        <v>958</v>
      </c>
      <c r="D45" s="238" t="s">
        <v>799</v>
      </c>
      <c r="E45" s="193" t="s">
        <v>679</v>
      </c>
      <c r="F45" s="175" t="s">
        <v>274</v>
      </c>
      <c r="G45" s="176">
        <v>1</v>
      </c>
      <c r="H45" s="176"/>
      <c r="I45" s="175" t="s">
        <v>366</v>
      </c>
      <c r="J45" s="175"/>
      <c r="K45" s="175"/>
      <c r="L45" s="175">
        <v>2</v>
      </c>
      <c r="M45" s="175">
        <v>1</v>
      </c>
      <c r="N45" s="175"/>
      <c r="O45" s="195"/>
      <c r="P45" s="201"/>
      <c r="Q45" s="175"/>
      <c r="R45" s="175"/>
      <c r="S45" s="238" t="s">
        <v>644</v>
      </c>
      <c r="T45" s="175"/>
      <c r="U45" s="202"/>
      <c r="V45" s="196"/>
      <c r="Y45" t="s">
        <v>885</v>
      </c>
      <c r="Z45" s="1">
        <v>2.29</v>
      </c>
    </row>
    <row r="46" spans="1:28" x14ac:dyDescent="0.25">
      <c r="A46" s="175"/>
      <c r="B46" s="175"/>
      <c r="C46" s="175"/>
      <c r="D46" s="175"/>
      <c r="E46" s="175"/>
      <c r="F46" s="175" t="s">
        <v>290</v>
      </c>
      <c r="G46" s="248" t="s">
        <v>684</v>
      </c>
      <c r="H46" s="176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238" t="s">
        <v>644</v>
      </c>
      <c r="U46" s="202"/>
      <c r="V46" s="196"/>
    </row>
    <row r="47" spans="1:28" x14ac:dyDescent="0.25">
      <c r="A47" s="175"/>
      <c r="B47" s="175"/>
      <c r="C47" s="175"/>
      <c r="D47" s="175"/>
      <c r="E47" s="175"/>
      <c r="F47" s="175" t="s">
        <v>277</v>
      </c>
      <c r="G47" s="250" t="s">
        <v>761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238" t="s">
        <v>644</v>
      </c>
      <c r="T47" s="175"/>
      <c r="U47" s="202"/>
      <c r="V47" s="196"/>
    </row>
    <row r="48" spans="1:28" x14ac:dyDescent="0.25">
      <c r="A48" s="175"/>
      <c r="B48" s="175"/>
      <c r="C48" s="175"/>
      <c r="D48" s="175"/>
      <c r="E48" s="175"/>
      <c r="F48" s="175" t="s">
        <v>278</v>
      </c>
      <c r="G48" s="248" t="s">
        <v>500</v>
      </c>
      <c r="H48" s="176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238" t="s">
        <v>644</v>
      </c>
      <c r="T48" s="175"/>
      <c r="U48" s="202"/>
      <c r="V48" s="196"/>
    </row>
    <row r="49" spans="1:27" x14ac:dyDescent="0.25">
      <c r="A49" s="175"/>
      <c r="B49" s="175"/>
      <c r="C49" s="175"/>
      <c r="D49" s="175"/>
      <c r="E49" s="175"/>
      <c r="F49" s="175" t="s">
        <v>279</v>
      </c>
      <c r="G49" s="249" t="s">
        <v>318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238" t="s">
        <v>644</v>
      </c>
      <c r="U49" s="202"/>
      <c r="V49" s="196"/>
    </row>
    <row r="50" spans="1:27" s="173" customFormat="1" ht="30" x14ac:dyDescent="0.25">
      <c r="A50" s="193" t="s">
        <v>671</v>
      </c>
      <c r="B50" s="175" t="s">
        <v>273</v>
      </c>
      <c r="C50" s="298" t="s">
        <v>958</v>
      </c>
      <c r="D50" s="238" t="s">
        <v>767</v>
      </c>
      <c r="E50" s="193" t="s">
        <v>598</v>
      </c>
      <c r="F50" s="175" t="s">
        <v>274</v>
      </c>
      <c r="G50" s="248" t="s">
        <v>608</v>
      </c>
      <c r="H50" s="176"/>
      <c r="I50" s="175" t="s">
        <v>366</v>
      </c>
      <c r="J50" s="175"/>
      <c r="K50" s="175"/>
      <c r="L50" s="175">
        <v>1</v>
      </c>
      <c r="M50" s="175">
        <v>1</v>
      </c>
      <c r="N50" s="175"/>
      <c r="O50" s="195"/>
      <c r="P50" s="201"/>
      <c r="Q50" s="175"/>
      <c r="R50" s="175"/>
      <c r="S50" s="175"/>
      <c r="T50" s="238" t="s">
        <v>644</v>
      </c>
      <c r="U50" s="202"/>
      <c r="V50" s="196"/>
      <c r="Z50" s="255"/>
      <c r="AA50" s="255"/>
    </row>
    <row r="51" spans="1:27" s="173" customFormat="1" x14ac:dyDescent="0.25">
      <c r="A51" s="175"/>
      <c r="B51" s="175"/>
      <c r="C51" s="175"/>
      <c r="D51" s="175"/>
      <c r="E51" s="175"/>
      <c r="F51" s="175" t="s">
        <v>290</v>
      </c>
      <c r="G51" s="248" t="s">
        <v>684</v>
      </c>
      <c r="H51" s="176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/>
      <c r="T51" s="238" t="s">
        <v>644</v>
      </c>
      <c r="U51" s="202"/>
      <c r="V51" s="196"/>
      <c r="Z51" s="255"/>
      <c r="AA51" s="255"/>
    </row>
    <row r="52" spans="1:27" x14ac:dyDescent="0.25">
      <c r="A52" s="175"/>
      <c r="B52" s="175"/>
      <c r="C52" s="175"/>
      <c r="D52" s="175"/>
      <c r="E52" s="175"/>
      <c r="F52" s="175" t="s">
        <v>277</v>
      </c>
      <c r="G52" s="250" t="s">
        <v>761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238" t="s">
        <v>644</v>
      </c>
      <c r="T52" s="175"/>
      <c r="U52" s="202"/>
      <c r="V52" s="196"/>
    </row>
    <row r="53" spans="1:27" x14ac:dyDescent="0.25">
      <c r="A53" s="175"/>
      <c r="B53" s="175"/>
      <c r="C53" s="175"/>
      <c r="D53" s="175"/>
      <c r="E53" s="175"/>
      <c r="F53" s="175" t="s">
        <v>278</v>
      </c>
      <c r="G53" s="248" t="s">
        <v>500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238" t="s">
        <v>644</v>
      </c>
      <c r="T53" s="175"/>
      <c r="U53" s="202"/>
      <c r="V53" s="196"/>
    </row>
    <row r="54" spans="1:27" x14ac:dyDescent="0.25">
      <c r="A54" s="175"/>
      <c r="B54" s="175"/>
      <c r="C54" s="175"/>
      <c r="D54" s="175"/>
      <c r="E54" s="175"/>
      <c r="F54" s="175" t="s">
        <v>279</v>
      </c>
      <c r="G54" s="248" t="s">
        <v>502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238" t="s">
        <v>644</v>
      </c>
      <c r="U54" s="202"/>
      <c r="V54" s="196"/>
    </row>
    <row r="55" spans="1:27" ht="30" x14ac:dyDescent="0.25">
      <c r="A55" s="193" t="s">
        <v>671</v>
      </c>
      <c r="B55" s="175" t="s">
        <v>338</v>
      </c>
      <c r="C55" s="298" t="s">
        <v>709</v>
      </c>
      <c r="D55" s="193" t="s">
        <v>687</v>
      </c>
      <c r="E55" s="175"/>
      <c r="F55" s="175" t="s">
        <v>290</v>
      </c>
      <c r="G55" s="248" t="s">
        <v>688</v>
      </c>
      <c r="H55" s="176"/>
      <c r="I55" s="175"/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238" t="s">
        <v>644</v>
      </c>
      <c r="T55" s="175"/>
      <c r="U55" s="202"/>
      <c r="V55" s="196"/>
    </row>
    <row r="56" spans="1:27" x14ac:dyDescent="0.25">
      <c r="A56" s="175"/>
      <c r="B56" s="175"/>
      <c r="C56" s="175"/>
      <c r="D56" s="175"/>
      <c r="E56" s="175"/>
      <c r="F56" s="175" t="s">
        <v>291</v>
      </c>
      <c r="G56" s="250" t="s">
        <v>768</v>
      </c>
      <c r="H56" s="176"/>
      <c r="I56" s="175"/>
      <c r="J56" s="175"/>
      <c r="K56" s="175"/>
      <c r="L56" s="175"/>
      <c r="M56" s="175"/>
      <c r="N56" s="175"/>
      <c r="O56" s="195"/>
      <c r="P56" s="201"/>
      <c r="Q56" s="244" t="s">
        <v>760</v>
      </c>
      <c r="R56" s="175"/>
      <c r="S56" s="238"/>
      <c r="T56" s="175"/>
      <c r="U56" s="202"/>
      <c r="V56" s="196"/>
    </row>
    <row r="57" spans="1:27" ht="30" x14ac:dyDescent="0.25">
      <c r="A57" s="175"/>
      <c r="B57" s="175"/>
      <c r="C57" s="175"/>
      <c r="D57" s="175"/>
      <c r="E57" s="175"/>
      <c r="F57" s="175" t="s">
        <v>292</v>
      </c>
      <c r="G57" s="176" t="s">
        <v>507</v>
      </c>
      <c r="H57" s="176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/>
      <c r="T57" s="238" t="s">
        <v>644</v>
      </c>
      <c r="U57" s="202"/>
      <c r="V57" s="196"/>
    </row>
    <row r="58" spans="1:27" x14ac:dyDescent="0.25">
      <c r="A58" s="175"/>
      <c r="B58" s="175"/>
      <c r="C58" s="175"/>
      <c r="D58" s="175"/>
      <c r="E58" s="175"/>
      <c r="F58" s="175" t="s">
        <v>278</v>
      </c>
      <c r="G58" s="248" t="s">
        <v>500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238" t="s">
        <v>644</v>
      </c>
      <c r="T58" s="175"/>
      <c r="U58" s="202"/>
      <c r="V58" s="196"/>
    </row>
    <row r="59" spans="1:27" ht="30" x14ac:dyDescent="0.25">
      <c r="A59" s="193" t="s">
        <v>671</v>
      </c>
      <c r="B59" s="193" t="s">
        <v>309</v>
      </c>
      <c r="C59" s="298" t="s">
        <v>709</v>
      </c>
      <c r="D59" s="238" t="s">
        <v>689</v>
      </c>
      <c r="E59" s="193"/>
      <c r="F59" s="175" t="s">
        <v>290</v>
      </c>
      <c r="G59" s="248" t="s">
        <v>323</v>
      </c>
      <c r="H59" s="176"/>
      <c r="I59" s="175" t="s">
        <v>366</v>
      </c>
      <c r="J59" s="175"/>
      <c r="K59" s="175"/>
      <c r="L59" s="175">
        <v>1</v>
      </c>
      <c r="M59" s="242" t="s">
        <v>530</v>
      </c>
      <c r="N59" s="175"/>
      <c r="O59" s="195"/>
      <c r="P59" s="201"/>
      <c r="Q59" s="175"/>
      <c r="R59" s="175"/>
      <c r="S59" s="175"/>
      <c r="T59" s="238" t="s">
        <v>644</v>
      </c>
      <c r="U59" s="202"/>
      <c r="V59" s="196"/>
    </row>
    <row r="60" spans="1:27" x14ac:dyDescent="0.25">
      <c r="A60" s="175"/>
      <c r="B60" s="175"/>
      <c r="C60" s="175"/>
      <c r="D60" s="175"/>
      <c r="E60" s="175"/>
      <c r="F60" s="175" t="s">
        <v>291</v>
      </c>
      <c r="G60" s="250" t="s">
        <v>768</v>
      </c>
      <c r="H60" s="176"/>
      <c r="I60" s="175"/>
      <c r="J60" s="175"/>
      <c r="K60" s="175"/>
      <c r="L60" s="175"/>
      <c r="M60" s="175"/>
      <c r="N60" s="175"/>
      <c r="O60" s="195"/>
      <c r="P60" s="201"/>
      <c r="Q60" s="244" t="s">
        <v>760</v>
      </c>
      <c r="R60" s="175"/>
      <c r="S60" s="238"/>
      <c r="T60" s="175"/>
      <c r="U60" s="202"/>
      <c r="V60" s="196"/>
    </row>
    <row r="61" spans="1:27" x14ac:dyDescent="0.25">
      <c r="A61" s="175"/>
      <c r="B61" s="175"/>
      <c r="C61" s="175"/>
      <c r="D61" s="175"/>
      <c r="E61" s="175"/>
      <c r="F61" s="175" t="s">
        <v>278</v>
      </c>
      <c r="G61" s="249" t="s">
        <v>500</v>
      </c>
      <c r="H61" s="176"/>
      <c r="I61" s="175"/>
      <c r="J61" s="175"/>
      <c r="K61" s="175"/>
      <c r="L61" s="175"/>
      <c r="M61" s="243" t="s">
        <v>803</v>
      </c>
      <c r="N61" s="175"/>
      <c r="O61" s="195"/>
      <c r="P61" s="201"/>
      <c r="Q61" s="175"/>
      <c r="R61" s="175"/>
      <c r="S61" s="238" t="s">
        <v>644</v>
      </c>
      <c r="T61" s="175"/>
      <c r="U61" s="202"/>
      <c r="V61" s="196"/>
    </row>
    <row r="62" spans="1:27" x14ac:dyDescent="0.25">
      <c r="A62" s="175"/>
      <c r="B62" s="175"/>
      <c r="C62" s="175"/>
      <c r="D62" s="175"/>
      <c r="E62" s="175"/>
      <c r="F62" s="175" t="s">
        <v>284</v>
      </c>
      <c r="G62" s="248" t="s">
        <v>690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238" t="s">
        <v>644</v>
      </c>
      <c r="T62" s="175"/>
      <c r="U62" s="202"/>
      <c r="V62" s="196"/>
    </row>
    <row r="63" spans="1:27" x14ac:dyDescent="0.25">
      <c r="A63" s="175"/>
      <c r="B63" s="175"/>
      <c r="C63" s="175"/>
      <c r="D63" s="175"/>
      <c r="E63" s="175"/>
      <c r="F63" s="175" t="s">
        <v>310</v>
      </c>
      <c r="G63" s="176" t="s">
        <v>511</v>
      </c>
      <c r="H63" s="176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238" t="s">
        <v>644</v>
      </c>
      <c r="U63" s="202"/>
      <c r="V63" s="196"/>
    </row>
    <row r="64" spans="1:27" ht="30" x14ac:dyDescent="0.25">
      <c r="A64" s="193" t="s">
        <v>671</v>
      </c>
      <c r="B64" s="191" t="s">
        <v>315</v>
      </c>
      <c r="C64" s="298" t="s">
        <v>709</v>
      </c>
      <c r="D64" s="241" t="s">
        <v>770</v>
      </c>
      <c r="E64" s="175"/>
      <c r="F64" s="175" t="s">
        <v>312</v>
      </c>
      <c r="G64" s="176" t="s">
        <v>307</v>
      </c>
      <c r="H64" s="176"/>
      <c r="I64" s="175" t="s">
        <v>333</v>
      </c>
      <c r="J64" s="175"/>
      <c r="K64" s="175"/>
      <c r="L64" s="175">
        <v>1</v>
      </c>
      <c r="M64" s="175">
        <v>2</v>
      </c>
      <c r="N64" s="175"/>
      <c r="O64" s="195"/>
      <c r="P64" s="201"/>
      <c r="Q64" s="175"/>
      <c r="R64" s="175"/>
      <c r="S64" s="175"/>
      <c r="T64" s="238" t="s">
        <v>644</v>
      </c>
      <c r="U64" s="202"/>
      <c r="V64" s="239" t="s">
        <v>771</v>
      </c>
    </row>
    <row r="65" spans="1:22" x14ac:dyDescent="0.25">
      <c r="A65" s="175"/>
      <c r="B65" s="175"/>
      <c r="C65" s="175"/>
      <c r="D65" s="175"/>
      <c r="E65" s="175"/>
      <c r="F65" s="175" t="s">
        <v>313</v>
      </c>
      <c r="G65" s="250" t="s">
        <v>772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238" t="s">
        <v>644</v>
      </c>
      <c r="T65" s="175"/>
      <c r="U65" s="202"/>
      <c r="V65" s="196"/>
    </row>
    <row r="66" spans="1:22" ht="105" x14ac:dyDescent="0.25">
      <c r="A66" s="175"/>
      <c r="B66" s="175"/>
      <c r="C66" s="175"/>
      <c r="D66" s="175"/>
      <c r="E66" s="175"/>
      <c r="F66" s="175" t="s">
        <v>314</v>
      </c>
      <c r="G66" s="250" t="s">
        <v>773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238" t="s">
        <v>644</v>
      </c>
      <c r="U66" s="202"/>
      <c r="V66" s="196"/>
    </row>
    <row r="67" spans="1:22" ht="30" x14ac:dyDescent="0.25">
      <c r="A67" s="193" t="s">
        <v>671</v>
      </c>
      <c r="B67" s="175" t="s">
        <v>273</v>
      </c>
      <c r="C67" s="298" t="s">
        <v>958</v>
      </c>
      <c r="D67" s="252" t="s">
        <v>805</v>
      </c>
      <c r="E67" s="193" t="s">
        <v>248</v>
      </c>
      <c r="F67" s="175" t="s">
        <v>274</v>
      </c>
      <c r="G67" s="248">
        <f>17.7/5.9*G20</f>
        <v>23.999999999999996</v>
      </c>
      <c r="H67" s="176">
        <f>H40+G67</f>
        <v>82.106894354530382</v>
      </c>
      <c r="I67" s="175" t="s">
        <v>366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238" t="s">
        <v>644</v>
      </c>
      <c r="T67" s="175"/>
      <c r="U67" s="202"/>
      <c r="V67" s="239" t="s">
        <v>775</v>
      </c>
    </row>
    <row r="68" spans="1:22" x14ac:dyDescent="0.25">
      <c r="A68" s="175"/>
      <c r="B68" s="175"/>
      <c r="C68" s="175"/>
      <c r="D68" s="175"/>
      <c r="E68" s="175"/>
      <c r="F68" s="175" t="s">
        <v>290</v>
      </c>
      <c r="G68" s="248" t="s">
        <v>684</v>
      </c>
      <c r="H68" s="176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238" t="s">
        <v>644</v>
      </c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277</v>
      </c>
      <c r="G69" s="250" t="s">
        <v>774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238" t="s">
        <v>644</v>
      </c>
      <c r="T69" s="175"/>
      <c r="U69" s="202"/>
      <c r="V69" s="196"/>
    </row>
    <row r="70" spans="1:22" x14ac:dyDescent="0.25">
      <c r="A70" s="175"/>
      <c r="B70" s="175"/>
      <c r="C70" s="175"/>
      <c r="D70" s="175"/>
      <c r="E70" s="175"/>
      <c r="F70" s="175" t="s">
        <v>278</v>
      </c>
      <c r="G70" s="248" t="s">
        <v>500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238" t="s">
        <v>644</v>
      </c>
      <c r="T70" s="175"/>
      <c r="U70" s="202"/>
      <c r="V70" s="196"/>
    </row>
    <row r="71" spans="1:22" ht="30" x14ac:dyDescent="0.25">
      <c r="A71" s="175"/>
      <c r="B71" s="175"/>
      <c r="C71" s="175"/>
      <c r="D71" s="175"/>
      <c r="E71" s="175"/>
      <c r="F71" s="175" t="s">
        <v>279</v>
      </c>
      <c r="G71" s="249" t="s">
        <v>776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238" t="s">
        <v>644</v>
      </c>
      <c r="U71" s="202"/>
      <c r="V71" s="239" t="s">
        <v>777</v>
      </c>
    </row>
    <row r="72" spans="1:22" ht="30" x14ac:dyDescent="0.25">
      <c r="A72" s="193" t="s">
        <v>671</v>
      </c>
      <c r="B72" s="193" t="s">
        <v>309</v>
      </c>
      <c r="C72" s="298" t="s">
        <v>709</v>
      </c>
      <c r="D72" s="193" t="s">
        <v>692</v>
      </c>
      <c r="E72" s="193"/>
      <c r="F72" s="175" t="s">
        <v>290</v>
      </c>
      <c r="G72" s="248" t="s">
        <v>684</v>
      </c>
      <c r="H72" s="176"/>
      <c r="I72" s="175" t="s">
        <v>366</v>
      </c>
      <c r="J72" s="175"/>
      <c r="K72" s="175"/>
      <c r="L72" s="175">
        <v>1</v>
      </c>
      <c r="M72" s="175">
        <v>2</v>
      </c>
      <c r="N72" s="175"/>
      <c r="O72" s="195"/>
      <c r="P72" s="201"/>
      <c r="Q72" s="175"/>
      <c r="R72" s="175"/>
      <c r="S72" s="175"/>
      <c r="T72" s="238" t="s">
        <v>644</v>
      </c>
      <c r="U72" s="202"/>
      <c r="V72" s="196"/>
    </row>
    <row r="73" spans="1:22" x14ac:dyDescent="0.25">
      <c r="A73" s="175"/>
      <c r="B73" s="175"/>
      <c r="C73" s="175"/>
      <c r="D73" s="175"/>
      <c r="E73" s="175"/>
      <c r="F73" s="175" t="s">
        <v>291</v>
      </c>
      <c r="G73" s="250" t="s">
        <v>774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238" t="s">
        <v>644</v>
      </c>
      <c r="T73" s="175"/>
      <c r="U73" s="202"/>
      <c r="V73" s="196"/>
    </row>
    <row r="74" spans="1:22" x14ac:dyDescent="0.25">
      <c r="A74" s="175"/>
      <c r="B74" s="175"/>
      <c r="C74" s="175"/>
      <c r="D74" s="175"/>
      <c r="E74" s="175"/>
      <c r="F74" s="175" t="s">
        <v>278</v>
      </c>
      <c r="G74" s="248" t="s">
        <v>500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238" t="s">
        <v>644</v>
      </c>
      <c r="T74" s="175"/>
      <c r="U74" s="202"/>
      <c r="V74" s="196"/>
    </row>
    <row r="75" spans="1:22" x14ac:dyDescent="0.25">
      <c r="A75" s="175"/>
      <c r="B75" s="175"/>
      <c r="C75" s="175"/>
      <c r="D75" s="175"/>
      <c r="E75" s="175"/>
      <c r="F75" s="175" t="s">
        <v>284</v>
      </c>
      <c r="G75" s="248" t="s">
        <v>330</v>
      </c>
      <c r="H75" s="176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238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310</v>
      </c>
      <c r="G76" s="248" t="s">
        <v>533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/>
      <c r="T76" s="238" t="s">
        <v>644</v>
      </c>
      <c r="U76" s="202"/>
      <c r="V76" s="196"/>
    </row>
    <row r="77" spans="1:22" ht="45" x14ac:dyDescent="0.25">
      <c r="A77" s="193" t="s">
        <v>671</v>
      </c>
      <c r="B77" s="193" t="s">
        <v>691</v>
      </c>
      <c r="C77" s="298" t="s">
        <v>959</v>
      </c>
      <c r="D77" s="193" t="s">
        <v>693</v>
      </c>
      <c r="E77" s="193"/>
      <c r="F77" s="175" t="s">
        <v>290</v>
      </c>
      <c r="G77" s="248" t="s">
        <v>684</v>
      </c>
      <c r="H77" s="176"/>
      <c r="I77" s="175" t="s">
        <v>366</v>
      </c>
      <c r="J77" s="175"/>
      <c r="K77" s="175"/>
      <c r="L77" s="175">
        <v>2</v>
      </c>
      <c r="M77" s="175">
        <v>2</v>
      </c>
      <c r="N77" s="175"/>
      <c r="O77" s="195"/>
      <c r="P77" s="201"/>
      <c r="Q77" s="175"/>
      <c r="R77" s="175"/>
      <c r="S77" s="175"/>
      <c r="T77" s="238" t="s">
        <v>644</v>
      </c>
      <c r="U77" s="202"/>
      <c r="V77" s="239" t="s">
        <v>778</v>
      </c>
    </row>
    <row r="78" spans="1:22" x14ac:dyDescent="0.25">
      <c r="A78" s="175"/>
      <c r="B78" s="175"/>
      <c r="C78" s="175"/>
      <c r="D78" s="175"/>
      <c r="E78" s="175"/>
      <c r="F78" s="175" t="s">
        <v>291</v>
      </c>
      <c r="G78" s="250" t="s">
        <v>774</v>
      </c>
      <c r="H78" s="176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238" t="s">
        <v>644</v>
      </c>
      <c r="T78" s="175"/>
      <c r="U78" s="202"/>
      <c r="V78" s="240" t="s">
        <v>779</v>
      </c>
    </row>
    <row r="79" spans="1:22" x14ac:dyDescent="0.25">
      <c r="A79" s="175"/>
      <c r="B79" s="175"/>
      <c r="C79" s="175"/>
      <c r="D79" s="175"/>
      <c r="E79" s="175"/>
      <c r="F79" s="175" t="s">
        <v>278</v>
      </c>
      <c r="G79" s="248" t="s">
        <v>608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/>
      <c r="T79" s="238" t="s">
        <v>644</v>
      </c>
      <c r="U79" s="202"/>
      <c r="V79" s="196"/>
    </row>
    <row r="80" spans="1:22" ht="30" x14ac:dyDescent="0.25">
      <c r="A80" s="175"/>
      <c r="B80" s="175"/>
      <c r="C80" s="175"/>
      <c r="D80" s="175"/>
      <c r="E80" s="175"/>
      <c r="F80" s="175" t="s">
        <v>284</v>
      </c>
      <c r="G80" s="248" t="s">
        <v>694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238" t="s">
        <v>644</v>
      </c>
      <c r="U80" s="202"/>
      <c r="V80" s="196"/>
    </row>
    <row r="81" spans="1:22" x14ac:dyDescent="0.25">
      <c r="A81" s="175"/>
      <c r="B81" s="175"/>
      <c r="C81" s="175"/>
      <c r="D81" s="175"/>
      <c r="E81" s="175"/>
      <c r="F81" s="175" t="s">
        <v>310</v>
      </c>
      <c r="G81" s="248" t="s">
        <v>533</v>
      </c>
      <c r="H81" s="176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238" t="s">
        <v>644</v>
      </c>
      <c r="U81" s="202"/>
      <c r="V81" s="196"/>
    </row>
    <row r="82" spans="1:22" ht="75" x14ac:dyDescent="0.25">
      <c r="A82" s="193" t="s">
        <v>671</v>
      </c>
      <c r="B82" s="175" t="s">
        <v>273</v>
      </c>
      <c r="C82" s="298" t="s">
        <v>958</v>
      </c>
      <c r="D82" s="252" t="s">
        <v>806</v>
      </c>
      <c r="E82" s="193" t="s">
        <v>248</v>
      </c>
      <c r="F82" s="175" t="s">
        <v>274</v>
      </c>
      <c r="G82" s="248">
        <f>30/5.9*G20</f>
        <v>40.677966101694913</v>
      </c>
      <c r="H82" s="176"/>
      <c r="I82" s="175" t="s">
        <v>366</v>
      </c>
      <c r="J82" s="175"/>
      <c r="K82" s="175"/>
      <c r="L82" s="175">
        <v>2</v>
      </c>
      <c r="M82" s="175">
        <v>2</v>
      </c>
      <c r="N82" s="175"/>
      <c r="O82" s="195"/>
      <c r="P82" s="201"/>
      <c r="Q82" s="175"/>
      <c r="R82" s="175"/>
      <c r="S82" s="238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290</v>
      </c>
      <c r="G83" s="248" t="s">
        <v>684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238" t="s">
        <v>644</v>
      </c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277</v>
      </c>
      <c r="G84" s="250" t="s">
        <v>774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238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278</v>
      </c>
      <c r="G85" s="248" t="s">
        <v>500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238" t="s">
        <v>644</v>
      </c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279</v>
      </c>
      <c r="G86" s="248" t="s">
        <v>318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238" t="s">
        <v>644</v>
      </c>
      <c r="U86" s="202"/>
      <c r="V86" s="196"/>
    </row>
    <row r="87" spans="1:22" ht="30" x14ac:dyDescent="0.25">
      <c r="A87" s="193" t="s">
        <v>671</v>
      </c>
      <c r="B87" s="193" t="s">
        <v>309</v>
      </c>
      <c r="C87" s="298" t="s">
        <v>709</v>
      </c>
      <c r="D87" s="193" t="s">
        <v>695</v>
      </c>
      <c r="E87" s="193"/>
      <c r="F87" s="175" t="s">
        <v>290</v>
      </c>
      <c r="G87" s="248" t="s">
        <v>684</v>
      </c>
      <c r="H87" s="176"/>
      <c r="I87" s="175" t="s">
        <v>366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/>
      <c r="T87" s="238" t="s">
        <v>644</v>
      </c>
      <c r="U87" s="202"/>
      <c r="V87" s="239" t="s">
        <v>780</v>
      </c>
    </row>
    <row r="88" spans="1:22" x14ac:dyDescent="0.25">
      <c r="A88" s="175"/>
      <c r="B88" s="175"/>
      <c r="C88" s="175"/>
      <c r="D88" s="175"/>
      <c r="E88" s="175"/>
      <c r="F88" s="175" t="s">
        <v>291</v>
      </c>
      <c r="G88" s="250" t="s">
        <v>774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 t="s">
        <v>644</v>
      </c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278</v>
      </c>
      <c r="G89" s="248" t="s">
        <v>500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 t="s">
        <v>644</v>
      </c>
      <c r="T89" s="175"/>
      <c r="U89" s="202"/>
      <c r="V89" s="196"/>
    </row>
    <row r="90" spans="1:22" x14ac:dyDescent="0.25">
      <c r="A90" s="175"/>
      <c r="B90" s="175"/>
      <c r="C90" s="175"/>
      <c r="D90" s="175"/>
      <c r="E90" s="175"/>
      <c r="F90" s="175" t="s">
        <v>284</v>
      </c>
      <c r="G90" s="248" t="s">
        <v>696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238" t="s">
        <v>644</v>
      </c>
      <c r="T90" s="175"/>
      <c r="U90" s="202"/>
      <c r="V90" s="196"/>
    </row>
    <row r="91" spans="1:22" x14ac:dyDescent="0.25">
      <c r="A91" s="175"/>
      <c r="B91" s="175"/>
      <c r="C91" s="175"/>
      <c r="D91" s="175"/>
      <c r="E91" s="175"/>
      <c r="F91" s="175" t="s">
        <v>310</v>
      </c>
      <c r="G91" s="248" t="s">
        <v>533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238" t="s">
        <v>644</v>
      </c>
      <c r="U91" s="202"/>
      <c r="V91" s="196"/>
    </row>
    <row r="92" spans="1:22" ht="45" x14ac:dyDescent="0.25">
      <c r="A92" s="193" t="s">
        <v>671</v>
      </c>
      <c r="B92" s="193" t="s">
        <v>691</v>
      </c>
      <c r="C92" s="298" t="s">
        <v>959</v>
      </c>
      <c r="D92" s="193" t="s">
        <v>693</v>
      </c>
      <c r="E92" s="193"/>
      <c r="F92" s="175" t="s">
        <v>290</v>
      </c>
      <c r="G92" s="248" t="s">
        <v>684</v>
      </c>
      <c r="H92" s="176"/>
      <c r="I92" s="175" t="s">
        <v>366</v>
      </c>
      <c r="J92" s="175"/>
      <c r="K92" s="175"/>
      <c r="L92" s="175">
        <v>2</v>
      </c>
      <c r="M92" s="175">
        <v>2</v>
      </c>
      <c r="N92" s="175"/>
      <c r="O92" s="195"/>
      <c r="P92" s="201"/>
      <c r="Q92" s="175"/>
      <c r="R92" s="175"/>
      <c r="S92" s="175"/>
      <c r="T92" s="238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75" t="s">
        <v>291</v>
      </c>
      <c r="G93" s="250" t="s">
        <v>774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238" t="s">
        <v>644</v>
      </c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75" t="s">
        <v>278</v>
      </c>
      <c r="G94" s="248" t="s">
        <v>608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238" t="s">
        <v>644</v>
      </c>
      <c r="U94" s="202"/>
      <c r="V94" s="196"/>
    </row>
    <row r="95" spans="1:22" ht="30" x14ac:dyDescent="0.25">
      <c r="A95" s="175"/>
      <c r="B95" s="175"/>
      <c r="C95" s="175"/>
      <c r="D95" s="175"/>
      <c r="E95" s="175"/>
      <c r="F95" s="175" t="s">
        <v>284</v>
      </c>
      <c r="G95" s="248" t="s">
        <v>694</v>
      </c>
      <c r="H95" s="176"/>
      <c r="I95" s="175"/>
      <c r="J95" s="175"/>
      <c r="K95" s="175"/>
      <c r="L95" s="175"/>
      <c r="M95" s="175"/>
      <c r="N95" s="175"/>
      <c r="O95" s="195"/>
      <c r="P95" s="201"/>
      <c r="Q95" s="175"/>
      <c r="R95" s="175"/>
      <c r="S95" s="175"/>
      <c r="T95" s="238" t="s">
        <v>644</v>
      </c>
      <c r="U95" s="202"/>
      <c r="V95" s="196"/>
    </row>
    <row r="96" spans="1:22" x14ac:dyDescent="0.25">
      <c r="A96" s="175"/>
      <c r="B96" s="175"/>
      <c r="C96" s="175"/>
      <c r="D96" s="175"/>
      <c r="E96" s="175"/>
      <c r="F96" s="175" t="s">
        <v>310</v>
      </c>
      <c r="G96" s="249" t="s">
        <v>559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238" t="s">
        <v>644</v>
      </c>
      <c r="U96" s="202"/>
      <c r="V96" s="196"/>
    </row>
    <row r="97" spans="1:22" ht="30" x14ac:dyDescent="0.25">
      <c r="A97" s="193" t="s">
        <v>671</v>
      </c>
      <c r="B97" s="175" t="s">
        <v>299</v>
      </c>
      <c r="C97" s="298" t="s">
        <v>959</v>
      </c>
      <c r="D97" s="193" t="s">
        <v>697</v>
      </c>
      <c r="E97" s="175"/>
      <c r="F97" s="175" t="s">
        <v>290</v>
      </c>
      <c r="G97" s="250" t="s">
        <v>702</v>
      </c>
      <c r="H97" s="176"/>
      <c r="I97" s="175" t="s">
        <v>366</v>
      </c>
      <c r="J97" s="175"/>
      <c r="K97" s="175"/>
      <c r="L97" s="175">
        <v>2</v>
      </c>
      <c r="M97" s="175">
        <v>2</v>
      </c>
      <c r="N97" s="175"/>
      <c r="O97" s="195"/>
      <c r="P97" s="201"/>
      <c r="Q97" s="175"/>
      <c r="R97" s="175"/>
      <c r="S97" s="238" t="s">
        <v>644</v>
      </c>
      <c r="T97" s="175"/>
      <c r="U97" s="202"/>
      <c r="V97" s="239" t="s">
        <v>782</v>
      </c>
    </row>
    <row r="98" spans="1:22" x14ac:dyDescent="0.25">
      <c r="A98" s="175"/>
      <c r="B98" s="175"/>
      <c r="C98" s="175"/>
      <c r="D98" s="175"/>
      <c r="E98" s="175"/>
      <c r="F98" s="175" t="s">
        <v>291</v>
      </c>
      <c r="G98" s="249" t="s">
        <v>753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 t="s">
        <v>644</v>
      </c>
      <c r="T98" s="175"/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300</v>
      </c>
      <c r="G99" s="249" t="s">
        <v>781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 t="s">
        <v>644</v>
      </c>
      <c r="T99" s="175"/>
      <c r="U99" s="202"/>
      <c r="V99" s="196"/>
    </row>
    <row r="100" spans="1:22" x14ac:dyDescent="0.25">
      <c r="A100" s="175"/>
      <c r="B100" s="175"/>
      <c r="C100" s="175"/>
      <c r="D100" s="175"/>
      <c r="E100" s="175"/>
      <c r="F100" s="175" t="s">
        <v>278</v>
      </c>
      <c r="G100" s="176" t="s">
        <v>305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238" t="s">
        <v>644</v>
      </c>
      <c r="T100" s="175"/>
      <c r="U100" s="202"/>
      <c r="V100" s="196"/>
    </row>
    <row r="101" spans="1:22" ht="60" x14ac:dyDescent="0.25">
      <c r="A101" s="175"/>
      <c r="B101" s="175"/>
      <c r="C101" s="175"/>
      <c r="D101" s="175"/>
      <c r="E101" s="175"/>
      <c r="F101" s="175" t="s">
        <v>295</v>
      </c>
      <c r="G101" s="253" t="s">
        <v>698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238" t="s">
        <v>644</v>
      </c>
      <c r="T101" s="175"/>
      <c r="U101" s="202"/>
      <c r="V101" s="196"/>
    </row>
    <row r="102" spans="1:22" x14ac:dyDescent="0.25">
      <c r="A102" s="175"/>
      <c r="B102" s="175"/>
      <c r="C102" s="175"/>
      <c r="D102" s="175"/>
      <c r="E102" s="175"/>
      <c r="F102" s="175" t="s">
        <v>310</v>
      </c>
      <c r="G102" s="250" t="s">
        <v>437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238" t="s">
        <v>644</v>
      </c>
      <c r="U102" s="202"/>
      <c r="V102" s="196"/>
    </row>
    <row r="103" spans="1:22" ht="30" x14ac:dyDescent="0.25">
      <c r="A103" s="193" t="s">
        <v>671</v>
      </c>
      <c r="B103" s="175" t="s">
        <v>273</v>
      </c>
      <c r="C103" s="298" t="s">
        <v>958</v>
      </c>
      <c r="D103" s="252" t="s">
        <v>807</v>
      </c>
      <c r="E103" s="193" t="s">
        <v>699</v>
      </c>
      <c r="F103" s="175" t="s">
        <v>274</v>
      </c>
      <c r="G103" s="248">
        <f>11.03/5.9*G20</f>
        <v>14.955932203389828</v>
      </c>
      <c r="H103" s="176"/>
      <c r="I103" s="175" t="s">
        <v>366</v>
      </c>
      <c r="J103" s="175"/>
      <c r="K103" s="175"/>
      <c r="L103" s="175">
        <v>2</v>
      </c>
      <c r="M103" s="175">
        <v>2</v>
      </c>
      <c r="N103" s="175"/>
      <c r="O103" s="195"/>
      <c r="P103" s="201"/>
      <c r="Q103" s="175"/>
      <c r="R103" s="175"/>
      <c r="S103" s="238" t="s">
        <v>644</v>
      </c>
      <c r="T103" s="175"/>
      <c r="U103" s="202"/>
      <c r="V103" s="196"/>
    </row>
    <row r="104" spans="1:22" x14ac:dyDescent="0.25">
      <c r="A104" s="175"/>
      <c r="B104" s="175"/>
      <c r="C104" s="175"/>
      <c r="D104" s="175"/>
      <c r="E104" s="175"/>
      <c r="F104" s="175" t="s">
        <v>290</v>
      </c>
      <c r="G104" s="250" t="s">
        <v>613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238" t="s">
        <v>644</v>
      </c>
      <c r="T104" s="175"/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277</v>
      </c>
      <c r="G105" s="248" t="s">
        <v>703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238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278</v>
      </c>
      <c r="G106" s="248" t="s">
        <v>500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238" t="s">
        <v>644</v>
      </c>
      <c r="T106" s="175"/>
      <c r="U106" s="202"/>
      <c r="V106" s="196"/>
    </row>
    <row r="107" spans="1:22" x14ac:dyDescent="0.25">
      <c r="A107" s="175"/>
      <c r="B107" s="175"/>
      <c r="C107" s="175"/>
      <c r="D107" s="175"/>
      <c r="E107" s="175"/>
      <c r="F107" s="175" t="s">
        <v>279</v>
      </c>
      <c r="G107" s="248" t="s">
        <v>318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238" t="s">
        <v>644</v>
      </c>
      <c r="U107" s="202"/>
      <c r="V107" s="196"/>
    </row>
    <row r="108" spans="1:22" ht="30" x14ac:dyDescent="0.25">
      <c r="A108" s="193" t="s">
        <v>671</v>
      </c>
      <c r="B108" s="175" t="s">
        <v>299</v>
      </c>
      <c r="C108" s="298" t="s">
        <v>959</v>
      </c>
      <c r="D108" s="238" t="s">
        <v>700</v>
      </c>
      <c r="E108" s="175"/>
      <c r="F108" s="175" t="s">
        <v>290</v>
      </c>
      <c r="G108" s="248" t="s">
        <v>702</v>
      </c>
      <c r="H108" s="176"/>
      <c r="I108" s="175" t="s">
        <v>366</v>
      </c>
      <c r="J108" s="175"/>
      <c r="K108" s="175"/>
      <c r="L108" s="175">
        <v>1</v>
      </c>
      <c r="M108" s="175">
        <v>2</v>
      </c>
      <c r="N108" s="175"/>
      <c r="O108" s="195"/>
      <c r="P108" s="201"/>
      <c r="Q108" s="175"/>
      <c r="R108" s="175"/>
      <c r="S108" s="238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75" t="s">
        <v>291</v>
      </c>
      <c r="G109" s="249" t="s">
        <v>703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238" t="s">
        <v>644</v>
      </c>
      <c r="T109" s="175"/>
      <c r="U109" s="202"/>
      <c r="V109" s="196"/>
    </row>
    <row r="110" spans="1:22" ht="30" x14ac:dyDescent="0.25">
      <c r="A110" s="175"/>
      <c r="B110" s="175"/>
      <c r="C110" s="175"/>
      <c r="D110" s="175"/>
      <c r="E110" s="175"/>
      <c r="F110" s="175" t="s">
        <v>300</v>
      </c>
      <c r="G110" s="249" t="s">
        <v>783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238" t="s">
        <v>644</v>
      </c>
      <c r="T110" s="175"/>
      <c r="U110" s="202"/>
      <c r="V110" s="196"/>
    </row>
    <row r="111" spans="1:22" x14ac:dyDescent="0.25">
      <c r="A111" s="175"/>
      <c r="B111" s="175"/>
      <c r="C111" s="175"/>
      <c r="D111" s="175"/>
      <c r="E111" s="175"/>
      <c r="F111" s="175" t="s">
        <v>278</v>
      </c>
      <c r="G111" s="176" t="s">
        <v>305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238" t="s">
        <v>644</v>
      </c>
      <c r="T111" s="175"/>
      <c r="U111" s="202"/>
      <c r="V111" s="196"/>
    </row>
    <row r="112" spans="1:22" ht="60" x14ac:dyDescent="0.25">
      <c r="A112" s="175"/>
      <c r="B112" s="175"/>
      <c r="C112" s="175"/>
      <c r="D112" s="175"/>
      <c r="E112" s="175"/>
      <c r="F112" s="175" t="s">
        <v>295</v>
      </c>
      <c r="G112" s="248" t="s">
        <v>701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238" t="s">
        <v>644</v>
      </c>
      <c r="T112" s="175"/>
      <c r="U112" s="202"/>
      <c r="V112" s="196"/>
    </row>
    <row r="113" spans="1:22" x14ac:dyDescent="0.25">
      <c r="A113" s="175"/>
      <c r="B113" s="175"/>
      <c r="C113" s="175"/>
      <c r="D113" s="175"/>
      <c r="E113" s="175"/>
      <c r="F113" s="175" t="s">
        <v>310</v>
      </c>
      <c r="G113" s="250" t="s">
        <v>437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238" t="s">
        <v>644</v>
      </c>
      <c r="U113" s="202"/>
      <c r="V113" s="196"/>
    </row>
    <row r="114" spans="1:22" ht="30" x14ac:dyDescent="0.25">
      <c r="A114" s="193" t="s">
        <v>671</v>
      </c>
      <c r="B114" s="175" t="s">
        <v>285</v>
      </c>
      <c r="C114" s="298" t="s">
        <v>709</v>
      </c>
      <c r="D114" s="193" t="s">
        <v>704</v>
      </c>
      <c r="E114" s="175"/>
      <c r="F114" s="175" t="s">
        <v>290</v>
      </c>
      <c r="G114" s="176" t="s">
        <v>276</v>
      </c>
      <c r="H114" s="176"/>
      <c r="I114" s="175" t="s">
        <v>333</v>
      </c>
      <c r="J114" s="175"/>
      <c r="K114" s="175"/>
      <c r="L114" s="175">
        <v>1</v>
      </c>
      <c r="M114" s="175">
        <v>2</v>
      </c>
      <c r="N114" s="175"/>
      <c r="O114" s="195"/>
      <c r="P114" s="201"/>
      <c r="Q114" s="175"/>
      <c r="R114" s="175"/>
      <c r="S114" s="175"/>
      <c r="T114" s="238" t="s">
        <v>644</v>
      </c>
      <c r="U114" s="202"/>
      <c r="V114" s="196"/>
    </row>
    <row r="115" spans="1:22" x14ac:dyDescent="0.25">
      <c r="A115" s="175"/>
      <c r="B115" s="175"/>
      <c r="C115" s="175"/>
      <c r="D115" s="175"/>
      <c r="E115" s="175"/>
      <c r="F115" s="175" t="s">
        <v>291</v>
      </c>
      <c r="G115" s="250" t="s">
        <v>784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 t="s">
        <v>644</v>
      </c>
      <c r="T115" s="175"/>
      <c r="U115" s="202"/>
      <c r="V115" s="196"/>
    </row>
    <row r="116" spans="1:22" ht="30" x14ac:dyDescent="0.25">
      <c r="A116" s="175"/>
      <c r="B116" s="175"/>
      <c r="C116" s="175"/>
      <c r="D116" s="175"/>
      <c r="E116" s="175"/>
      <c r="F116" s="175" t="s">
        <v>292</v>
      </c>
      <c r="G116" s="176" t="s">
        <v>308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238" t="s">
        <v>644</v>
      </c>
      <c r="U116" s="202"/>
      <c r="V116" s="196"/>
    </row>
    <row r="117" spans="1:22" x14ac:dyDescent="0.25">
      <c r="A117" s="175"/>
      <c r="B117" s="175"/>
      <c r="C117" s="175"/>
      <c r="D117" s="175"/>
      <c r="E117" s="175"/>
      <c r="F117" s="175" t="s">
        <v>278</v>
      </c>
      <c r="G117" s="248" t="s">
        <v>500</v>
      </c>
      <c r="H117" s="176"/>
      <c r="I117" s="175"/>
      <c r="J117" s="175"/>
      <c r="K117" s="175"/>
      <c r="L117" s="175"/>
      <c r="M117" s="175"/>
      <c r="N117" s="175"/>
      <c r="O117" s="195"/>
      <c r="P117" s="201"/>
      <c r="Q117" s="175"/>
      <c r="R117" s="175"/>
      <c r="S117" s="238" t="s">
        <v>644</v>
      </c>
      <c r="T117" s="175"/>
      <c r="U117" s="202"/>
      <c r="V117" s="196"/>
    </row>
    <row r="118" spans="1:22" x14ac:dyDescent="0.25">
      <c r="A118" s="175"/>
      <c r="B118" s="175"/>
      <c r="C118" s="175"/>
      <c r="D118" s="175"/>
      <c r="E118" s="175"/>
      <c r="F118" s="175" t="s">
        <v>310</v>
      </c>
      <c r="G118" s="250" t="s">
        <v>437</v>
      </c>
      <c r="H118" s="176"/>
      <c r="I118" s="175"/>
      <c r="J118" s="175"/>
      <c r="K118" s="175"/>
      <c r="L118" s="175"/>
      <c r="M118" s="175"/>
      <c r="N118" s="175"/>
      <c r="O118" s="195"/>
      <c r="P118" s="201"/>
      <c r="Q118" s="175"/>
      <c r="R118" s="175"/>
      <c r="S118" s="175"/>
      <c r="T118" s="238" t="s">
        <v>644</v>
      </c>
      <c r="U118" s="202"/>
      <c r="V118" s="196"/>
    </row>
    <row r="119" spans="1:22" ht="30" x14ac:dyDescent="0.25">
      <c r="A119" s="193" t="s">
        <v>671</v>
      </c>
      <c r="B119" s="175" t="s">
        <v>309</v>
      </c>
      <c r="C119" s="298" t="s">
        <v>709</v>
      </c>
      <c r="D119" s="193" t="s">
        <v>705</v>
      </c>
      <c r="E119" s="175"/>
      <c r="F119" s="175" t="s">
        <v>290</v>
      </c>
      <c r="G119" s="248" t="s">
        <v>323</v>
      </c>
      <c r="H119" s="176"/>
      <c r="I119" s="175" t="s">
        <v>333</v>
      </c>
      <c r="J119" s="175"/>
      <c r="K119" s="175"/>
      <c r="L119" s="175">
        <v>1</v>
      </c>
      <c r="M119" s="243" t="s">
        <v>595</v>
      </c>
      <c r="N119" s="175"/>
      <c r="O119" s="195"/>
      <c r="P119" s="201"/>
      <c r="Q119" s="175"/>
      <c r="R119" s="175"/>
      <c r="S119" s="175"/>
      <c r="T119" s="238" t="s">
        <v>644</v>
      </c>
      <c r="U119" s="202"/>
      <c r="V119" s="196"/>
    </row>
    <row r="120" spans="1:22" x14ac:dyDescent="0.25">
      <c r="A120" s="175"/>
      <c r="B120" s="175"/>
      <c r="C120" s="175"/>
      <c r="D120" s="175"/>
      <c r="E120" s="175"/>
      <c r="F120" s="175" t="s">
        <v>291</v>
      </c>
      <c r="G120" s="250" t="s">
        <v>784</v>
      </c>
      <c r="H120" s="176"/>
      <c r="I120" s="175"/>
      <c r="J120" s="175"/>
      <c r="K120" s="175"/>
      <c r="L120" s="175"/>
      <c r="M120" s="175"/>
      <c r="N120" s="175"/>
      <c r="O120" s="195"/>
      <c r="P120" s="201"/>
      <c r="Q120" s="175"/>
      <c r="R120" s="175"/>
      <c r="S120" s="238" t="s">
        <v>644</v>
      </c>
      <c r="T120" s="175"/>
      <c r="U120" s="202"/>
      <c r="V120" s="196"/>
    </row>
    <row r="121" spans="1:22" x14ac:dyDescent="0.25">
      <c r="A121" s="175"/>
      <c r="B121" s="175"/>
      <c r="C121" s="175"/>
      <c r="D121" s="175"/>
      <c r="E121" s="175"/>
      <c r="F121" s="175" t="s">
        <v>278</v>
      </c>
      <c r="G121" s="249" t="s">
        <v>786</v>
      </c>
      <c r="H121" s="176"/>
      <c r="I121" s="175"/>
      <c r="J121" s="175"/>
      <c r="K121" s="175"/>
      <c r="L121" s="175"/>
      <c r="M121" s="175"/>
      <c r="N121" s="175"/>
      <c r="O121" s="195"/>
      <c r="P121" s="201"/>
      <c r="Q121" s="175"/>
      <c r="R121" s="175"/>
      <c r="S121" s="238" t="s">
        <v>644</v>
      </c>
      <c r="T121" s="175"/>
      <c r="U121" s="202"/>
      <c r="V121" s="196"/>
    </row>
    <row r="122" spans="1:22" x14ac:dyDescent="0.25">
      <c r="A122" s="175"/>
      <c r="B122" s="175"/>
      <c r="C122" s="175"/>
      <c r="D122" s="175"/>
      <c r="E122" s="175"/>
      <c r="F122" s="175" t="s">
        <v>284</v>
      </c>
      <c r="G122" s="249" t="s">
        <v>785</v>
      </c>
      <c r="H122" s="176"/>
      <c r="I122" s="175"/>
      <c r="J122" s="175"/>
      <c r="K122" s="175"/>
      <c r="L122" s="175"/>
      <c r="M122" s="175"/>
      <c r="N122" s="175"/>
      <c r="O122" s="195"/>
      <c r="P122" s="201"/>
      <c r="Q122" s="175"/>
      <c r="R122" s="175"/>
      <c r="S122" s="238" t="s">
        <v>644</v>
      </c>
      <c r="T122" s="175"/>
      <c r="U122" s="202"/>
      <c r="V122" s="196"/>
    </row>
    <row r="123" spans="1:22" x14ac:dyDescent="0.25">
      <c r="A123" s="175"/>
      <c r="B123" s="175"/>
      <c r="C123" s="175"/>
      <c r="D123" s="175"/>
      <c r="E123" s="175"/>
      <c r="F123" s="175" t="s">
        <v>310</v>
      </c>
      <c r="G123" s="249" t="s">
        <v>511</v>
      </c>
      <c r="H123" s="176"/>
      <c r="I123" s="175"/>
      <c r="J123" s="175"/>
      <c r="K123" s="175"/>
      <c r="L123" s="175"/>
      <c r="M123" s="175"/>
      <c r="N123" s="175"/>
      <c r="O123" s="195"/>
      <c r="P123" s="201"/>
      <c r="Q123" s="175"/>
      <c r="R123" s="175"/>
      <c r="S123" s="175"/>
      <c r="T123" s="238" t="s">
        <v>644</v>
      </c>
      <c r="U123" s="202"/>
      <c r="V123" s="239"/>
    </row>
    <row r="124" spans="1:22" ht="60" x14ac:dyDescent="0.25">
      <c r="A124" s="193" t="s">
        <v>671</v>
      </c>
      <c r="B124" s="175" t="s">
        <v>286</v>
      </c>
      <c r="C124" s="298" t="s">
        <v>959</v>
      </c>
      <c r="D124" s="193" t="s">
        <v>706</v>
      </c>
      <c r="E124" s="175"/>
      <c r="F124" s="175" t="s">
        <v>295</v>
      </c>
      <c r="G124" s="176" t="s">
        <v>297</v>
      </c>
      <c r="H124" s="176"/>
      <c r="I124" s="175" t="s">
        <v>565</v>
      </c>
      <c r="J124" s="175"/>
      <c r="K124" s="175"/>
      <c r="L124" s="175">
        <v>2</v>
      </c>
      <c r="M124" s="175">
        <v>3</v>
      </c>
      <c r="N124" s="175"/>
      <c r="O124" s="195"/>
      <c r="P124" s="201"/>
      <c r="Q124" s="175"/>
      <c r="R124" s="175"/>
      <c r="S124" s="175"/>
      <c r="T124" s="238" t="s">
        <v>644</v>
      </c>
      <c r="U124" s="202"/>
      <c r="V124" s="239" t="s">
        <v>787</v>
      </c>
    </row>
    <row r="125" spans="1:22" ht="30" x14ac:dyDescent="0.25">
      <c r="A125" s="175"/>
      <c r="B125" s="175"/>
      <c r="C125" s="175"/>
      <c r="D125" s="175"/>
      <c r="E125" s="175"/>
      <c r="F125" s="175" t="s">
        <v>296</v>
      </c>
      <c r="G125" s="176" t="s">
        <v>298</v>
      </c>
      <c r="H125" s="176"/>
      <c r="I125" s="175"/>
      <c r="J125" s="175"/>
      <c r="K125" s="175"/>
      <c r="L125" s="175"/>
      <c r="M125" s="175"/>
      <c r="N125" s="175"/>
      <c r="O125" s="195"/>
      <c r="P125" s="201"/>
      <c r="Q125" s="175"/>
      <c r="R125" s="175"/>
      <c r="S125" s="175"/>
      <c r="T125" s="238" t="s">
        <v>644</v>
      </c>
      <c r="U125" s="202"/>
      <c r="V125" s="239" t="s">
        <v>788</v>
      </c>
    </row>
    <row r="126" spans="1:22" ht="60" x14ac:dyDescent="0.25">
      <c r="A126" s="193" t="s">
        <v>671</v>
      </c>
      <c r="B126" s="175" t="s">
        <v>293</v>
      </c>
      <c r="C126" s="298" t="s">
        <v>958</v>
      </c>
      <c r="D126" s="238" t="s">
        <v>801</v>
      </c>
      <c r="E126" s="193" t="s">
        <v>699</v>
      </c>
      <c r="F126" s="175" t="s">
        <v>274</v>
      </c>
      <c r="G126" s="176">
        <f>8.07/5.9*G20</f>
        <v>10.942372881355931</v>
      </c>
      <c r="H126" s="176"/>
      <c r="I126" s="175" t="s">
        <v>565</v>
      </c>
      <c r="J126" s="175"/>
      <c r="K126" s="175"/>
      <c r="L126" s="175">
        <v>2</v>
      </c>
      <c r="M126" s="175">
        <v>3</v>
      </c>
      <c r="N126" s="175"/>
      <c r="O126" s="195"/>
      <c r="P126" s="201"/>
      <c r="Q126" s="175"/>
      <c r="R126" s="175"/>
      <c r="S126" s="238" t="s">
        <v>644</v>
      </c>
      <c r="T126" s="175"/>
      <c r="U126" s="202"/>
      <c r="V126" s="239" t="s">
        <v>790</v>
      </c>
    </row>
    <row r="127" spans="1:22" ht="30" x14ac:dyDescent="0.25">
      <c r="A127" s="175"/>
      <c r="B127" s="175"/>
      <c r="C127" s="175"/>
      <c r="D127" s="175"/>
      <c r="E127" s="175"/>
      <c r="F127" s="175" t="s">
        <v>294</v>
      </c>
      <c r="G127" s="176" t="s">
        <v>280</v>
      </c>
      <c r="H127" s="176"/>
      <c r="I127" s="175"/>
      <c r="J127" s="175"/>
      <c r="K127" s="175"/>
      <c r="L127" s="175"/>
      <c r="M127" s="175"/>
      <c r="N127" s="175"/>
      <c r="O127" s="195"/>
      <c r="P127" s="201"/>
      <c r="Q127" s="175"/>
      <c r="R127" s="175"/>
      <c r="S127" s="175"/>
      <c r="T127" s="238" t="s">
        <v>644</v>
      </c>
      <c r="U127" s="202"/>
      <c r="V127" s="196"/>
    </row>
    <row r="128" spans="1:22" ht="75" x14ac:dyDescent="0.25">
      <c r="A128" s="175"/>
      <c r="B128" s="175"/>
      <c r="C128" s="175"/>
      <c r="D128" s="175"/>
      <c r="E128" s="175"/>
      <c r="F128" s="175" t="s">
        <v>278</v>
      </c>
      <c r="G128" s="249" t="s">
        <v>789</v>
      </c>
      <c r="H128" s="176"/>
      <c r="I128" s="175"/>
      <c r="J128" s="175"/>
      <c r="K128" s="175"/>
      <c r="L128" s="175"/>
      <c r="M128" s="175"/>
      <c r="N128" s="175"/>
      <c r="O128" s="195"/>
      <c r="P128" s="201"/>
      <c r="Q128" s="175"/>
      <c r="R128" s="175"/>
      <c r="S128" s="175"/>
      <c r="T128" s="238" t="s">
        <v>644</v>
      </c>
      <c r="U128" s="202"/>
      <c r="V128" s="196"/>
    </row>
    <row r="129" spans="1:22" x14ac:dyDescent="0.25">
      <c r="A129" s="175"/>
      <c r="B129" s="175"/>
      <c r="C129" s="175"/>
      <c r="D129" s="175"/>
      <c r="E129" s="175"/>
      <c r="F129" s="175" t="s">
        <v>279</v>
      </c>
      <c r="G129" s="248" t="s">
        <v>318</v>
      </c>
      <c r="H129" s="176"/>
      <c r="I129" s="175"/>
      <c r="J129" s="175"/>
      <c r="K129" s="175"/>
      <c r="L129" s="175"/>
      <c r="M129" s="175"/>
      <c r="N129" s="175"/>
      <c r="O129" s="195"/>
      <c r="P129" s="201"/>
      <c r="Q129" s="175"/>
      <c r="R129" s="175"/>
      <c r="S129" s="175"/>
      <c r="T129" s="238" t="s">
        <v>644</v>
      </c>
      <c r="U129" s="202"/>
      <c r="V129" s="196"/>
    </row>
    <row r="130" spans="1:22" ht="60" x14ac:dyDescent="0.25">
      <c r="A130" s="193" t="s">
        <v>671</v>
      </c>
      <c r="B130" s="175" t="s">
        <v>293</v>
      </c>
      <c r="C130" s="298" t="s">
        <v>958</v>
      </c>
      <c r="D130" s="238" t="s">
        <v>802</v>
      </c>
      <c r="E130" s="193" t="s">
        <v>699</v>
      </c>
      <c r="F130" s="175" t="s">
        <v>274</v>
      </c>
      <c r="G130" s="176">
        <f>8.07/5.9*G20</f>
        <v>10.942372881355931</v>
      </c>
      <c r="H130" s="176"/>
      <c r="I130" s="175" t="s">
        <v>565</v>
      </c>
      <c r="J130" s="175"/>
      <c r="K130" s="175"/>
      <c r="L130" s="175">
        <v>2</v>
      </c>
      <c r="M130" s="175">
        <v>3</v>
      </c>
      <c r="N130" s="175"/>
      <c r="O130" s="195"/>
      <c r="P130" s="201"/>
      <c r="Q130" s="175"/>
      <c r="R130" s="175"/>
      <c r="S130" s="238" t="s">
        <v>644</v>
      </c>
      <c r="T130" s="175"/>
      <c r="U130" s="202"/>
      <c r="V130" s="196"/>
    </row>
    <row r="131" spans="1:22" ht="30" x14ac:dyDescent="0.25">
      <c r="A131" s="175"/>
      <c r="B131" s="175"/>
      <c r="C131" s="175"/>
      <c r="D131" s="175"/>
      <c r="E131" s="175"/>
      <c r="F131" s="175" t="s">
        <v>294</v>
      </c>
      <c r="G131" s="176" t="s">
        <v>280</v>
      </c>
      <c r="H131" s="176"/>
      <c r="I131" s="175"/>
      <c r="J131" s="175"/>
      <c r="K131" s="175"/>
      <c r="L131" s="175"/>
      <c r="M131" s="175"/>
      <c r="N131" s="175"/>
      <c r="O131" s="195"/>
      <c r="P131" s="201"/>
      <c r="Q131" s="175"/>
      <c r="R131" s="175"/>
      <c r="S131" s="175"/>
      <c r="T131" s="238" t="s">
        <v>644</v>
      </c>
      <c r="U131" s="202"/>
      <c r="V131" s="196"/>
    </row>
    <row r="132" spans="1:22" ht="45" x14ac:dyDescent="0.25">
      <c r="A132" s="175"/>
      <c r="B132" s="175"/>
      <c r="C132" s="175"/>
      <c r="D132" s="175"/>
      <c r="E132" s="175"/>
      <c r="F132" s="175" t="s">
        <v>278</v>
      </c>
      <c r="G132" s="176" t="s">
        <v>322</v>
      </c>
      <c r="H132" s="176"/>
      <c r="I132" s="175"/>
      <c r="J132" s="175"/>
      <c r="K132" s="175"/>
      <c r="L132" s="175"/>
      <c r="M132" s="175"/>
      <c r="N132" s="175"/>
      <c r="O132" s="195"/>
      <c r="P132" s="201"/>
      <c r="Q132" s="175"/>
      <c r="R132" s="175"/>
      <c r="S132" s="175"/>
      <c r="T132" s="238" t="s">
        <v>644</v>
      </c>
      <c r="U132" s="202"/>
      <c r="V132" s="196"/>
    </row>
    <row r="133" spans="1:22" x14ac:dyDescent="0.25">
      <c r="A133" s="175"/>
      <c r="B133" s="175"/>
      <c r="C133" s="175"/>
      <c r="D133" s="175"/>
      <c r="E133" s="175"/>
      <c r="F133" s="175" t="s">
        <v>279</v>
      </c>
      <c r="G133" s="248" t="s">
        <v>318</v>
      </c>
      <c r="H133" s="176"/>
      <c r="I133" s="175"/>
      <c r="J133" s="175"/>
      <c r="K133" s="175"/>
      <c r="L133" s="175"/>
      <c r="M133" s="175"/>
      <c r="N133" s="175"/>
      <c r="O133" s="195"/>
      <c r="P133" s="201"/>
      <c r="Q133" s="175"/>
      <c r="R133" s="175"/>
      <c r="S133" s="175"/>
      <c r="T133" s="238" t="s">
        <v>644</v>
      </c>
      <c r="U133" s="202"/>
      <c r="V133" s="196"/>
    </row>
    <row r="134" spans="1:22" ht="60" x14ac:dyDescent="0.25">
      <c r="A134" s="193" t="s">
        <v>671</v>
      </c>
      <c r="B134" s="175" t="s">
        <v>309</v>
      </c>
      <c r="C134" s="298" t="s">
        <v>709</v>
      </c>
      <c r="D134" s="193" t="s">
        <v>707</v>
      </c>
      <c r="E134" s="175"/>
      <c r="F134" s="175" t="s">
        <v>290</v>
      </c>
      <c r="G134" s="248" t="s">
        <v>502</v>
      </c>
      <c r="H134" s="176"/>
      <c r="I134" s="175" t="s">
        <v>565</v>
      </c>
      <c r="J134" s="175"/>
      <c r="K134" s="175"/>
      <c r="L134" s="175">
        <v>2</v>
      </c>
      <c r="M134" s="175">
        <v>3</v>
      </c>
      <c r="N134" s="175"/>
      <c r="O134" s="195"/>
      <c r="P134" s="201"/>
      <c r="Q134" s="175"/>
      <c r="R134" s="175"/>
      <c r="S134" s="175"/>
      <c r="T134" s="238" t="s">
        <v>644</v>
      </c>
      <c r="U134" s="202"/>
      <c r="V134" s="196"/>
    </row>
    <row r="135" spans="1:22" x14ac:dyDescent="0.25">
      <c r="A135" s="175"/>
      <c r="B135" s="175"/>
      <c r="C135" s="175"/>
      <c r="D135" s="175"/>
      <c r="E135" s="175"/>
      <c r="F135" s="175" t="s">
        <v>291</v>
      </c>
      <c r="G135" s="250" t="s">
        <v>502</v>
      </c>
      <c r="H135" s="176"/>
      <c r="I135" s="175"/>
      <c r="J135" s="175"/>
      <c r="K135" s="175"/>
      <c r="L135" s="175"/>
      <c r="M135" s="175"/>
      <c r="N135" s="175"/>
      <c r="O135" s="195"/>
      <c r="P135" s="201"/>
      <c r="Q135" s="175"/>
      <c r="R135" s="175"/>
      <c r="S135" s="175"/>
      <c r="T135" s="238" t="s">
        <v>644</v>
      </c>
      <c r="U135" s="202"/>
      <c r="V135" s="196"/>
    </row>
    <row r="136" spans="1:22" x14ac:dyDescent="0.25">
      <c r="A136" s="175"/>
      <c r="B136" s="175"/>
      <c r="C136" s="175"/>
      <c r="D136" s="175"/>
      <c r="E136" s="175"/>
      <c r="F136" s="175" t="s">
        <v>278</v>
      </c>
      <c r="G136" s="248" t="s">
        <v>502</v>
      </c>
      <c r="H136" s="176"/>
      <c r="I136" s="175"/>
      <c r="J136" s="175"/>
      <c r="K136" s="175"/>
      <c r="L136" s="175"/>
      <c r="M136" s="175"/>
      <c r="N136" s="175"/>
      <c r="O136" s="195"/>
      <c r="P136" s="201"/>
      <c r="Q136" s="175"/>
      <c r="R136" s="175"/>
      <c r="S136" s="175"/>
      <c r="T136" s="238" t="s">
        <v>644</v>
      </c>
      <c r="U136" s="202"/>
      <c r="V136" s="196"/>
    </row>
    <row r="137" spans="1:22" x14ac:dyDescent="0.25">
      <c r="A137" s="175"/>
      <c r="B137" s="175"/>
      <c r="C137" s="175"/>
      <c r="D137" s="175"/>
      <c r="E137" s="175"/>
      <c r="F137" s="175" t="s">
        <v>284</v>
      </c>
      <c r="G137" s="248" t="s">
        <v>708</v>
      </c>
      <c r="H137" s="176"/>
      <c r="I137" s="175"/>
      <c r="J137" s="175"/>
      <c r="K137" s="175"/>
      <c r="L137" s="175"/>
      <c r="M137" s="175"/>
      <c r="N137" s="175"/>
      <c r="O137" s="195"/>
      <c r="P137" s="201"/>
      <c r="Q137" s="175"/>
      <c r="R137" s="175"/>
      <c r="S137" s="238" t="s">
        <v>644</v>
      </c>
      <c r="T137" s="175"/>
      <c r="U137" s="202"/>
      <c r="V137" s="196"/>
    </row>
    <row r="138" spans="1:22" x14ac:dyDescent="0.25">
      <c r="A138" s="175"/>
      <c r="B138" s="175"/>
      <c r="C138" s="175"/>
      <c r="D138" s="175"/>
      <c r="E138" s="175"/>
      <c r="F138" s="175" t="s">
        <v>310</v>
      </c>
      <c r="G138" s="249" t="s">
        <v>437</v>
      </c>
      <c r="H138" s="176"/>
      <c r="I138" s="175"/>
      <c r="J138" s="175"/>
      <c r="K138" s="175"/>
      <c r="L138" s="175"/>
      <c r="M138" s="175"/>
      <c r="N138" s="175"/>
      <c r="O138" s="195"/>
      <c r="P138" s="201"/>
      <c r="Q138" s="175"/>
      <c r="R138" s="175"/>
      <c r="S138" s="175"/>
      <c r="T138" s="238" t="s">
        <v>644</v>
      </c>
      <c r="U138" s="202"/>
      <c r="V138" s="196"/>
    </row>
    <row r="139" spans="1:22" ht="30" x14ac:dyDescent="0.25">
      <c r="A139" s="193" t="s">
        <v>671</v>
      </c>
      <c r="B139" s="190" t="s">
        <v>288</v>
      </c>
      <c r="C139" s="298" t="s">
        <v>959</v>
      </c>
      <c r="D139" s="175" t="s">
        <v>289</v>
      </c>
      <c r="E139" s="175"/>
      <c r="F139" s="175" t="s">
        <v>290</v>
      </c>
      <c r="G139" s="176" t="s">
        <v>331</v>
      </c>
      <c r="H139" s="176"/>
      <c r="I139" s="175"/>
      <c r="J139" s="175"/>
      <c r="K139" s="175"/>
      <c r="L139" s="175">
        <v>2</v>
      </c>
      <c r="M139" s="175">
        <v>3</v>
      </c>
      <c r="N139" s="175"/>
      <c r="O139" s="195"/>
      <c r="P139" s="201"/>
      <c r="Q139" s="175"/>
      <c r="R139" s="175"/>
      <c r="S139" s="238" t="s">
        <v>644</v>
      </c>
      <c r="T139" s="175"/>
      <c r="U139" s="202"/>
      <c r="V139" s="196"/>
    </row>
    <row r="140" spans="1:22" ht="30" x14ac:dyDescent="0.25">
      <c r="A140" s="175"/>
      <c r="B140" s="175"/>
      <c r="C140" s="175"/>
      <c r="D140" s="175"/>
      <c r="E140" s="175"/>
      <c r="F140" s="175" t="s">
        <v>301</v>
      </c>
      <c r="G140" s="176" t="s">
        <v>276</v>
      </c>
      <c r="H140" s="176"/>
      <c r="I140" s="175"/>
      <c r="J140" s="175"/>
      <c r="K140" s="175"/>
      <c r="L140" s="175"/>
      <c r="M140" s="175"/>
      <c r="N140" s="175"/>
      <c r="O140" s="195"/>
      <c r="P140" s="201"/>
      <c r="Q140" s="175"/>
      <c r="R140" s="175"/>
      <c r="S140" s="175"/>
      <c r="T140" s="238" t="s">
        <v>644</v>
      </c>
      <c r="U140" s="202"/>
      <c r="V140" s="196"/>
    </row>
    <row r="141" spans="1:22" x14ac:dyDescent="0.25">
      <c r="A141" s="175"/>
      <c r="B141" s="175"/>
      <c r="C141" s="175"/>
      <c r="D141" s="175"/>
      <c r="E141" s="175"/>
      <c r="F141" s="175" t="s">
        <v>302</v>
      </c>
      <c r="G141" s="249" t="s">
        <v>791</v>
      </c>
      <c r="H141" s="176"/>
      <c r="I141" s="175"/>
      <c r="J141" s="175"/>
      <c r="K141" s="175"/>
      <c r="L141" s="175"/>
      <c r="M141" s="175"/>
      <c r="N141" s="175"/>
      <c r="O141" s="195"/>
      <c r="P141" s="201"/>
      <c r="Q141" s="175"/>
      <c r="R141" s="175"/>
      <c r="S141" s="238" t="s">
        <v>644</v>
      </c>
      <c r="T141" s="175"/>
      <c r="U141" s="202"/>
      <c r="V141" s="239" t="s">
        <v>793</v>
      </c>
    </row>
    <row r="142" spans="1:22" x14ac:dyDescent="0.25">
      <c r="A142" s="175"/>
      <c r="B142" s="175"/>
      <c r="C142" s="175"/>
      <c r="D142" s="175"/>
      <c r="E142" s="175"/>
      <c r="F142" s="175" t="s">
        <v>303</v>
      </c>
      <c r="G142" s="176" t="s">
        <v>317</v>
      </c>
      <c r="H142" s="176"/>
      <c r="I142" s="175"/>
      <c r="J142" s="175"/>
      <c r="K142" s="175"/>
      <c r="L142" s="175"/>
      <c r="M142" s="175"/>
      <c r="N142" s="175"/>
      <c r="O142" s="195"/>
      <c r="P142" s="201"/>
      <c r="Q142" s="175"/>
      <c r="R142" s="175"/>
      <c r="S142" s="238" t="s">
        <v>644</v>
      </c>
      <c r="T142" s="175"/>
      <c r="U142" s="202"/>
      <c r="V142" s="196"/>
    </row>
    <row r="143" spans="1:22" ht="30" x14ac:dyDescent="0.25">
      <c r="A143" s="175"/>
      <c r="B143" s="175"/>
      <c r="C143" s="175"/>
      <c r="D143" s="175"/>
      <c r="E143" s="175"/>
      <c r="F143" s="175" t="s">
        <v>304</v>
      </c>
      <c r="G143" s="176" t="s">
        <v>438</v>
      </c>
      <c r="H143" s="176"/>
      <c r="I143" s="175"/>
      <c r="J143" s="175"/>
      <c r="K143" s="175"/>
      <c r="L143" s="175"/>
      <c r="M143" s="175"/>
      <c r="N143" s="175"/>
      <c r="O143" s="195"/>
      <c r="P143" s="201"/>
      <c r="Q143" s="175"/>
      <c r="R143" s="175"/>
      <c r="S143" s="175"/>
      <c r="T143" s="238" t="s">
        <v>644</v>
      </c>
      <c r="U143" s="202"/>
      <c r="V143" s="239" t="s">
        <v>794</v>
      </c>
    </row>
    <row r="144" spans="1:22" ht="30" x14ac:dyDescent="0.25">
      <c r="A144" s="175"/>
      <c r="B144" s="175"/>
      <c r="C144" s="175"/>
      <c r="D144" s="175"/>
      <c r="E144" s="175"/>
      <c r="F144" s="175" t="s">
        <v>284</v>
      </c>
      <c r="G144" s="176" t="s">
        <v>578</v>
      </c>
      <c r="H144" s="176"/>
      <c r="I144" s="175"/>
      <c r="J144" s="175"/>
      <c r="K144" s="175"/>
      <c r="L144" s="175"/>
      <c r="M144" s="175"/>
      <c r="N144" s="175"/>
      <c r="O144" s="195"/>
      <c r="P144" s="201"/>
      <c r="Q144" s="175"/>
      <c r="R144" s="175"/>
      <c r="S144" s="175"/>
      <c r="T144" s="238" t="s">
        <v>644</v>
      </c>
      <c r="U144" s="202"/>
      <c r="V144" s="196"/>
    </row>
    <row r="145" spans="1:22" x14ac:dyDescent="0.25">
      <c r="A145" s="175"/>
      <c r="B145" s="175"/>
      <c r="C145" s="175"/>
      <c r="D145" s="175"/>
      <c r="E145" s="175"/>
      <c r="F145" s="187" t="s">
        <v>596</v>
      </c>
      <c r="G145" s="264">
        <v>0.85</v>
      </c>
      <c r="H145" s="176"/>
      <c r="I145" s="175"/>
      <c r="J145" s="175"/>
      <c r="K145" s="175"/>
      <c r="L145" s="175"/>
      <c r="M145" s="175"/>
      <c r="N145" s="175"/>
      <c r="O145" s="195"/>
      <c r="P145" s="201"/>
      <c r="Q145" s="175"/>
      <c r="R145" s="175"/>
      <c r="S145" s="238" t="s">
        <v>644</v>
      </c>
      <c r="T145" s="175"/>
      <c r="U145" s="202"/>
      <c r="V145" s="196"/>
    </row>
    <row r="146" spans="1:22" x14ac:dyDescent="0.25">
      <c r="A146" s="175"/>
      <c r="B146" s="175"/>
      <c r="C146" s="175"/>
      <c r="D146" s="175"/>
      <c r="E146" s="175"/>
      <c r="F146" s="187" t="s">
        <v>597</v>
      </c>
      <c r="G146" s="264">
        <f>G20/96*203.2*G145</f>
        <v>14.393333333333331</v>
      </c>
      <c r="H146" s="176"/>
      <c r="I146" s="175"/>
      <c r="J146" s="175"/>
      <c r="K146" s="175"/>
      <c r="L146" s="175"/>
      <c r="M146" s="175"/>
      <c r="N146" s="175"/>
      <c r="O146" s="195"/>
      <c r="P146" s="201"/>
      <c r="Q146" s="175"/>
      <c r="R146" s="175"/>
      <c r="S146" s="238" t="s">
        <v>644</v>
      </c>
      <c r="T146" s="175"/>
      <c r="U146" s="202"/>
      <c r="V146" s="196"/>
    </row>
    <row r="147" spans="1:22" ht="30" x14ac:dyDescent="0.25">
      <c r="A147" s="193" t="s">
        <v>671</v>
      </c>
      <c r="B147" s="190" t="s">
        <v>662</v>
      </c>
      <c r="C147" s="175"/>
      <c r="D147" s="175" t="s">
        <v>549</v>
      </c>
      <c r="E147" s="175"/>
      <c r="F147" s="175" t="s">
        <v>550</v>
      </c>
      <c r="G147" s="250" t="s">
        <v>792</v>
      </c>
      <c r="H147" s="176"/>
      <c r="I147" s="175"/>
      <c r="J147" s="175"/>
      <c r="K147" s="175"/>
      <c r="L147" s="175">
        <v>2</v>
      </c>
      <c r="M147" s="175">
        <v>3</v>
      </c>
      <c r="N147" s="175"/>
      <c r="O147" s="195"/>
      <c r="P147" s="201"/>
      <c r="Q147" s="175"/>
      <c r="R147" s="175"/>
      <c r="S147" s="175"/>
      <c r="T147" s="175"/>
      <c r="U147" s="202"/>
      <c r="V147" s="196"/>
    </row>
    <row r="148" spans="1:22" ht="15.75" thickBot="1" x14ac:dyDescent="0.3">
      <c r="A148" s="175"/>
      <c r="B148" s="175"/>
      <c r="C148" s="175"/>
      <c r="D148" s="175"/>
      <c r="E148" s="175"/>
      <c r="F148" s="175" t="s">
        <v>551</v>
      </c>
      <c r="G148" s="176" t="s">
        <v>552</v>
      </c>
      <c r="H148" s="176"/>
      <c r="I148" s="175"/>
      <c r="J148" s="175"/>
      <c r="K148" s="175"/>
      <c r="L148" s="175"/>
      <c r="M148" s="175"/>
      <c r="N148" s="175"/>
      <c r="O148" s="195"/>
      <c r="P148" s="203"/>
      <c r="Q148" s="204"/>
      <c r="R148" s="204"/>
      <c r="S148" s="204"/>
      <c r="T148" s="204"/>
      <c r="U148" s="205"/>
      <c r="V148" s="196"/>
    </row>
    <row r="149" spans="1:22" ht="30" x14ac:dyDescent="0.25">
      <c r="A149" s="193" t="s">
        <v>671</v>
      </c>
      <c r="B149" s="190" t="s">
        <v>661</v>
      </c>
      <c r="C149" s="175"/>
      <c r="D149" s="175" t="s">
        <v>542</v>
      </c>
      <c r="E149" s="175"/>
      <c r="F149" s="175" t="s">
        <v>543</v>
      </c>
      <c r="G149" s="176" t="s">
        <v>544</v>
      </c>
      <c r="H149" s="176"/>
      <c r="I149" s="175"/>
      <c r="J149" s="175"/>
      <c r="K149" s="175"/>
      <c r="L149" s="175">
        <v>2</v>
      </c>
      <c r="M149" s="175">
        <v>4</v>
      </c>
      <c r="N149" s="175"/>
      <c r="O149" s="195"/>
      <c r="P149" s="201"/>
      <c r="Q149" s="175"/>
      <c r="R149" s="175"/>
      <c r="S149" s="175"/>
      <c r="T149" s="238" t="s">
        <v>644</v>
      </c>
      <c r="U149" s="202"/>
      <c r="V149" s="196"/>
    </row>
    <row r="150" spans="1:22" x14ac:dyDescent="0.25">
      <c r="A150" s="175"/>
      <c r="B150" s="175"/>
      <c r="C150" s="175"/>
      <c r="D150" s="175"/>
      <c r="E150" s="175"/>
      <c r="F150" s="175" t="s">
        <v>545</v>
      </c>
      <c r="G150" s="253" t="s">
        <v>547</v>
      </c>
      <c r="H150" s="176"/>
      <c r="I150" s="175"/>
      <c r="J150" s="175"/>
      <c r="K150" s="175"/>
      <c r="L150" s="175"/>
      <c r="M150" s="175"/>
      <c r="N150" s="175"/>
      <c r="O150" s="195"/>
      <c r="P150" s="201"/>
      <c r="Q150" s="175"/>
      <c r="R150" s="175"/>
      <c r="S150" s="238" t="s">
        <v>644</v>
      </c>
      <c r="T150" s="175"/>
      <c r="U150" s="202"/>
      <c r="V150" s="196"/>
    </row>
    <row r="151" spans="1:22" x14ac:dyDescent="0.25">
      <c r="A151" s="175"/>
      <c r="B151" s="175"/>
      <c r="C151" s="175"/>
      <c r="D151" s="175"/>
      <c r="E151" s="175"/>
      <c r="F151" s="175" t="s">
        <v>546</v>
      </c>
      <c r="G151" s="253" t="s">
        <v>909</v>
      </c>
      <c r="H151" s="176"/>
      <c r="I151" s="175"/>
      <c r="J151" s="175"/>
      <c r="K151" s="175"/>
      <c r="L151" s="175"/>
      <c r="M151" s="175"/>
      <c r="N151" s="175"/>
      <c r="O151" s="195"/>
      <c r="P151" s="201"/>
      <c r="Q151" s="175"/>
      <c r="R151" s="175"/>
      <c r="S151" s="238" t="s">
        <v>644</v>
      </c>
      <c r="T151" s="175"/>
      <c r="U151" s="202"/>
      <c r="V151" s="196"/>
    </row>
    <row r="152" spans="1:22" ht="30" x14ac:dyDescent="0.25">
      <c r="A152" s="193" t="s">
        <v>671</v>
      </c>
      <c r="B152" s="175"/>
      <c r="C152" s="175"/>
      <c r="D152" s="298" t="s">
        <v>961</v>
      </c>
      <c r="E152" s="175"/>
      <c r="F152" s="300" t="s">
        <v>559</v>
      </c>
      <c r="G152" s="302" t="s">
        <v>962</v>
      </c>
      <c r="H152" s="176"/>
      <c r="I152" s="175"/>
      <c r="J152" s="175"/>
      <c r="K152" s="175"/>
      <c r="L152" s="175"/>
      <c r="M152" s="175"/>
      <c r="N152" s="175"/>
      <c r="O152" s="195"/>
      <c r="P152" s="201"/>
      <c r="Q152" s="175"/>
      <c r="R152" s="175"/>
      <c r="S152" s="238"/>
      <c r="T152" s="175"/>
      <c r="U152" s="202"/>
      <c r="V152" s="196"/>
    </row>
    <row r="153" spans="1:22" ht="75" x14ac:dyDescent="0.25">
      <c r="A153" s="175"/>
      <c r="B153" s="175"/>
      <c r="C153" s="175"/>
      <c r="D153" s="175"/>
      <c r="E153" s="175"/>
      <c r="F153" s="301" t="s">
        <v>437</v>
      </c>
      <c r="G153" s="302" t="s">
        <v>963</v>
      </c>
      <c r="H153" s="176"/>
      <c r="I153" s="175"/>
      <c r="J153" s="175"/>
      <c r="K153" s="175"/>
      <c r="L153" s="175"/>
      <c r="M153" s="175"/>
      <c r="N153" s="175"/>
      <c r="O153" s="195"/>
      <c r="P153" s="201"/>
      <c r="Q153" s="175"/>
      <c r="R153" s="175"/>
      <c r="S153" s="238"/>
      <c r="T153" s="175"/>
      <c r="U153" s="202"/>
      <c r="V153" s="196"/>
    </row>
    <row r="154" spans="1:22" ht="30" x14ac:dyDescent="0.25">
      <c r="A154" s="193" t="s">
        <v>671</v>
      </c>
      <c r="B154" s="190" t="s">
        <v>662</v>
      </c>
      <c r="C154" s="175"/>
      <c r="D154" s="175" t="s">
        <v>549</v>
      </c>
      <c r="E154" s="175"/>
      <c r="F154" s="175" t="s">
        <v>550</v>
      </c>
      <c r="G154" s="250" t="s">
        <v>792</v>
      </c>
      <c r="H154" s="176"/>
      <c r="I154" s="175"/>
      <c r="J154" s="175"/>
      <c r="K154" s="175"/>
      <c r="L154" s="175">
        <v>2</v>
      </c>
      <c r="M154" s="175">
        <v>4</v>
      </c>
      <c r="N154" s="175"/>
      <c r="O154" s="195"/>
      <c r="P154" s="201"/>
      <c r="Q154" s="175"/>
      <c r="R154" s="175"/>
      <c r="S154" s="175"/>
      <c r="T154" s="175"/>
      <c r="U154" s="202"/>
      <c r="V154" s="196"/>
    </row>
    <row r="155" spans="1:22" ht="15.75" thickBot="1" x14ac:dyDescent="0.3">
      <c r="A155" s="175"/>
      <c r="B155" s="175"/>
      <c r="C155" s="175"/>
      <c r="D155" s="175"/>
      <c r="E155" s="175"/>
      <c r="F155" s="175" t="s">
        <v>551</v>
      </c>
      <c r="G155" s="176" t="s">
        <v>552</v>
      </c>
      <c r="H155" s="176"/>
      <c r="I155" s="175"/>
      <c r="J155" s="175"/>
      <c r="K155" s="175"/>
      <c r="L155" s="175"/>
      <c r="M155" s="175"/>
      <c r="N155" s="175"/>
      <c r="O155" s="195"/>
      <c r="P155" s="203"/>
      <c r="Q155" s="204"/>
      <c r="R155" s="204"/>
      <c r="S155" s="204"/>
      <c r="T155" s="204"/>
      <c r="U155" s="205"/>
      <c r="V155" s="196"/>
    </row>
    <row r="156" spans="1:22" ht="30" x14ac:dyDescent="0.25">
      <c r="A156" s="193" t="s">
        <v>671</v>
      </c>
      <c r="B156" s="252" t="s">
        <v>808</v>
      </c>
      <c r="C156" s="252"/>
      <c r="D156" s="252"/>
      <c r="E156" s="252"/>
      <c r="F156" s="252" t="s">
        <v>809</v>
      </c>
      <c r="G156" s="250" t="s">
        <v>502</v>
      </c>
      <c r="H156" s="176"/>
      <c r="I156" s="175"/>
      <c r="J156" s="175"/>
      <c r="K156" s="175"/>
      <c r="L156" s="175"/>
      <c r="M156" s="175"/>
      <c r="N156" s="175"/>
      <c r="O156" s="175"/>
      <c r="P156" s="197"/>
      <c r="Q156" s="197"/>
      <c r="R156" s="197"/>
      <c r="S156" s="197"/>
      <c r="T156" s="197"/>
      <c r="U156" s="197"/>
      <c r="V156" s="175"/>
    </row>
    <row r="157" spans="1:22" x14ac:dyDescent="0.25">
      <c r="A157" s="175"/>
      <c r="B157" s="252"/>
      <c r="C157" s="252"/>
      <c r="D157" s="252"/>
      <c r="E157" s="252"/>
      <c r="F157" s="252" t="s">
        <v>810</v>
      </c>
      <c r="G157" s="250" t="s">
        <v>502</v>
      </c>
      <c r="H157" s="176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</row>
    <row r="158" spans="1:22" x14ac:dyDescent="0.25">
      <c r="A158" s="175"/>
      <c r="B158" s="254"/>
      <c r="C158" s="158"/>
      <c r="D158" s="158"/>
      <c r="E158" s="158"/>
      <c r="F158" s="158" t="s">
        <v>811</v>
      </c>
      <c r="G158" s="250" t="s">
        <v>502</v>
      </c>
      <c r="H158" s="176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</row>
    <row r="159" spans="1:22" x14ac:dyDescent="0.25">
      <c r="A159" s="175"/>
      <c r="B159" s="175"/>
      <c r="C159" s="175"/>
      <c r="D159" s="175"/>
      <c r="E159" s="175"/>
      <c r="F159" s="175"/>
      <c r="G159" s="176"/>
      <c r="H159" s="176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</row>
    <row r="160" spans="1:22" x14ac:dyDescent="0.25">
      <c r="A160" s="175"/>
      <c r="B160" s="175"/>
      <c r="C160" s="175"/>
      <c r="D160" s="175"/>
      <c r="E160" s="175"/>
      <c r="F160" s="175"/>
      <c r="G160" s="176"/>
      <c r="H160" s="176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</row>
    <row r="161" spans="1:22" x14ac:dyDescent="0.25">
      <c r="A161" s="175"/>
      <c r="B161" s="175"/>
      <c r="C161" s="175"/>
      <c r="D161" s="175"/>
      <c r="E161" s="175"/>
      <c r="F161" s="175"/>
      <c r="G161" s="176"/>
      <c r="H161" s="176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</row>
    <row r="162" spans="1:22" x14ac:dyDescent="0.25">
      <c r="A162" s="175"/>
      <c r="B162" s="175"/>
      <c r="C162" s="175"/>
      <c r="D162" s="175"/>
      <c r="E162" s="175"/>
      <c r="F162" s="175"/>
      <c r="G162" s="176"/>
      <c r="H162" s="176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</row>
    <row r="163" spans="1:22" x14ac:dyDescent="0.25">
      <c r="A163" s="175"/>
      <c r="B163" s="175"/>
      <c r="C163" s="175"/>
      <c r="D163" s="175"/>
      <c r="E163" s="175"/>
      <c r="F163" s="175"/>
      <c r="G163" s="176"/>
      <c r="H163" s="176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</row>
    <row r="164" spans="1:22" x14ac:dyDescent="0.25">
      <c r="A164" s="175"/>
      <c r="B164" s="175"/>
      <c r="C164" s="175"/>
      <c r="D164" s="175"/>
      <c r="E164" s="175"/>
      <c r="F164" s="175"/>
      <c r="G164" s="176"/>
      <c r="H164" s="176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</row>
    <row r="165" spans="1:22" x14ac:dyDescent="0.25">
      <c r="A165" s="175"/>
      <c r="B165" s="175"/>
      <c r="C165" s="175"/>
      <c r="D165" s="175"/>
      <c r="E165" s="175"/>
      <c r="F165" s="175"/>
      <c r="G165" s="176"/>
      <c r="H165" s="176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</row>
    <row r="166" spans="1:22" x14ac:dyDescent="0.25">
      <c r="A166" s="175"/>
      <c r="B166" s="175"/>
      <c r="C166" s="175"/>
      <c r="D166" s="175"/>
      <c r="E166" s="175"/>
      <c r="F166" s="175"/>
      <c r="G166" s="176"/>
      <c r="H166" s="176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</row>
    <row r="167" spans="1:22" x14ac:dyDescent="0.25">
      <c r="A167" s="175"/>
      <c r="B167" s="175"/>
      <c r="C167" s="175"/>
      <c r="D167" s="175"/>
      <c r="E167" s="175"/>
      <c r="F167" s="175"/>
      <c r="G167" s="176"/>
      <c r="H167" s="176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</row>
    <row r="168" spans="1:22" x14ac:dyDescent="0.25">
      <c r="A168" s="175"/>
      <c r="B168" s="175"/>
      <c r="C168" s="175"/>
      <c r="D168" s="175"/>
      <c r="E168" s="175"/>
      <c r="F168" s="175"/>
      <c r="G168" s="176"/>
      <c r="H168" s="176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</row>
    <row r="169" spans="1:22" x14ac:dyDescent="0.25">
      <c r="A169" s="175"/>
      <c r="B169" s="175"/>
      <c r="C169" s="175"/>
      <c r="D169" s="175"/>
      <c r="E169" s="175"/>
      <c r="F169" s="175"/>
      <c r="G169" s="176"/>
      <c r="H169" s="176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</row>
    <row r="170" spans="1:22" x14ac:dyDescent="0.25">
      <c r="A170" s="175"/>
      <c r="B170" s="175"/>
      <c r="C170" s="175"/>
      <c r="D170" s="175"/>
      <c r="E170" s="175"/>
      <c r="F170" s="175"/>
      <c r="G170" s="176"/>
      <c r="H170" s="176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</row>
    <row r="171" spans="1:22" x14ac:dyDescent="0.25">
      <c r="A171" s="175"/>
      <c r="B171" s="175"/>
      <c r="C171" s="175"/>
      <c r="D171" s="175"/>
      <c r="E171" s="175"/>
      <c r="F171" s="175"/>
      <c r="G171" s="176"/>
      <c r="H171" s="176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</row>
    <row r="172" spans="1:22" x14ac:dyDescent="0.25">
      <c r="A172" s="175"/>
      <c r="B172" s="175"/>
      <c r="C172" s="175"/>
      <c r="D172" s="175"/>
      <c r="E172" s="175"/>
      <c r="F172" s="175"/>
      <c r="G172" s="176"/>
      <c r="H172" s="176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</row>
    <row r="173" spans="1:22" x14ac:dyDescent="0.25">
      <c r="A173" s="175"/>
      <c r="B173" s="175"/>
      <c r="C173" s="175"/>
      <c r="D173" s="175"/>
      <c r="E173" s="175"/>
      <c r="F173" s="175"/>
      <c r="G173" s="176"/>
      <c r="H173" s="176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</row>
    <row r="174" spans="1:22" x14ac:dyDescent="0.25">
      <c r="A174" s="175"/>
      <c r="B174" s="175"/>
      <c r="C174" s="175"/>
      <c r="D174" s="175"/>
      <c r="E174" s="175"/>
      <c r="F174" s="175"/>
      <c r="G174" s="176"/>
      <c r="H174" s="176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</row>
    <row r="175" spans="1:22" ht="30" customHeight="1" x14ac:dyDescent="0.25">
      <c r="A175" s="175"/>
      <c r="B175" s="175"/>
      <c r="C175" s="175"/>
      <c r="D175" s="175"/>
      <c r="E175" s="175"/>
      <c r="F175" s="175"/>
      <c r="G175" s="176"/>
      <c r="H175" s="176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</row>
    <row r="176" spans="1:22" x14ac:dyDescent="0.25">
      <c r="A176" s="175"/>
      <c r="B176" s="175"/>
      <c r="C176" s="175"/>
      <c r="D176" s="175"/>
      <c r="E176" s="175"/>
      <c r="F176" s="175"/>
      <c r="G176" s="176"/>
      <c r="H176" s="176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</row>
    <row r="177" spans="1:22" x14ac:dyDescent="0.25">
      <c r="A177" s="175"/>
      <c r="B177" s="175"/>
      <c r="C177" s="175"/>
      <c r="D177" s="175"/>
      <c r="E177" s="175"/>
      <c r="F177" s="175"/>
      <c r="G177" s="176"/>
      <c r="H177" s="176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</row>
    <row r="178" spans="1:22" x14ac:dyDescent="0.25">
      <c r="A178" s="175"/>
      <c r="B178" s="175"/>
      <c r="C178" s="175"/>
      <c r="D178" s="175"/>
      <c r="E178" s="175"/>
      <c r="F178" s="175"/>
      <c r="G178" s="176"/>
      <c r="H178" s="176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</row>
    <row r="179" spans="1:22" x14ac:dyDescent="0.25">
      <c r="A179" s="175"/>
      <c r="B179" s="175"/>
      <c r="C179" s="175"/>
      <c r="D179" s="175"/>
      <c r="E179" s="175"/>
      <c r="F179" s="175"/>
      <c r="G179" s="176"/>
      <c r="H179" s="176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</row>
    <row r="180" spans="1:22" x14ac:dyDescent="0.25">
      <c r="A180" s="175"/>
      <c r="B180" s="175"/>
      <c r="C180" s="175"/>
      <c r="D180" s="175"/>
      <c r="E180" s="175"/>
      <c r="F180" s="175"/>
      <c r="G180" s="176"/>
      <c r="H180" s="176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</row>
    <row r="181" spans="1:22" x14ac:dyDescent="0.25">
      <c r="A181" s="175"/>
      <c r="B181" s="175"/>
      <c r="C181" s="175"/>
      <c r="D181" s="175"/>
      <c r="E181" s="175"/>
      <c r="F181" s="175"/>
      <c r="G181" s="176"/>
      <c r="H181" s="176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</row>
    <row r="182" spans="1:22" x14ac:dyDescent="0.25">
      <c r="A182" s="175"/>
      <c r="B182" s="175"/>
      <c r="C182" s="175"/>
      <c r="D182" s="175"/>
      <c r="E182" s="175"/>
      <c r="F182" s="175"/>
      <c r="G182" s="176"/>
      <c r="H182" s="176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</row>
    <row r="183" spans="1:22" x14ac:dyDescent="0.25">
      <c r="A183" s="175"/>
      <c r="B183" s="175"/>
      <c r="C183" s="175"/>
      <c r="D183" s="175"/>
      <c r="E183" s="175"/>
      <c r="F183" s="175"/>
      <c r="G183" s="176"/>
      <c r="H183" s="176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</row>
    <row r="184" spans="1:22" x14ac:dyDescent="0.25">
      <c r="A184" s="175"/>
      <c r="B184" s="175"/>
      <c r="C184" s="175"/>
      <c r="D184" s="175"/>
      <c r="E184" s="175"/>
      <c r="F184" s="175"/>
      <c r="G184" s="176"/>
      <c r="H184" s="176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</row>
    <row r="185" spans="1:22" x14ac:dyDescent="0.25">
      <c r="A185" s="175"/>
      <c r="B185" s="175"/>
      <c r="C185" s="175"/>
      <c r="D185" s="175"/>
      <c r="E185" s="175"/>
      <c r="F185" s="175"/>
      <c r="G185" s="176"/>
      <c r="H185" s="176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</row>
    <row r="186" spans="1:22" x14ac:dyDescent="0.25">
      <c r="A186" s="175"/>
      <c r="B186" s="175"/>
      <c r="C186" s="175"/>
      <c r="D186" s="175"/>
      <c r="E186" s="175"/>
      <c r="F186" s="175"/>
      <c r="G186" s="176"/>
      <c r="H186" s="176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</row>
    <row r="187" spans="1:22" x14ac:dyDescent="0.25">
      <c r="A187" s="175"/>
      <c r="B187" s="175"/>
      <c r="C187" s="175"/>
      <c r="D187" s="175"/>
      <c r="E187" s="175"/>
      <c r="F187" s="175"/>
      <c r="G187" s="176"/>
      <c r="H187" s="176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</row>
    <row r="188" spans="1:22" x14ac:dyDescent="0.25">
      <c r="A188" s="175"/>
      <c r="B188" s="175"/>
      <c r="C188" s="175"/>
      <c r="D188" s="175"/>
      <c r="E188" s="175"/>
      <c r="F188" s="175"/>
      <c r="G188" s="176"/>
      <c r="H188" s="176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</row>
    <row r="189" spans="1:22" x14ac:dyDescent="0.25">
      <c r="A189" s="175"/>
      <c r="B189" s="175"/>
      <c r="C189" s="175"/>
      <c r="D189" s="175"/>
      <c r="E189" s="175"/>
      <c r="F189" s="175"/>
      <c r="G189" s="176"/>
      <c r="H189" s="176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</row>
    <row r="190" spans="1:22" x14ac:dyDescent="0.25">
      <c r="A190" s="175"/>
      <c r="B190" s="175"/>
      <c r="C190" s="175"/>
      <c r="D190" s="175"/>
      <c r="E190" s="175"/>
      <c r="F190" s="175"/>
      <c r="G190" s="176"/>
      <c r="H190" s="176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</row>
    <row r="191" spans="1:22" x14ac:dyDescent="0.25">
      <c r="A191" s="175"/>
      <c r="B191" s="175"/>
      <c r="C191" s="175"/>
      <c r="D191" s="175"/>
      <c r="E191" s="175"/>
      <c r="F191" s="175"/>
      <c r="G191" s="176"/>
      <c r="H191" s="176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</row>
    <row r="192" spans="1:22" x14ac:dyDescent="0.25">
      <c r="A192" s="175"/>
      <c r="B192" s="175"/>
      <c r="C192" s="175"/>
      <c r="D192" s="175"/>
      <c r="E192" s="175"/>
      <c r="F192" s="175"/>
      <c r="G192" s="176"/>
      <c r="H192" s="176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</row>
    <row r="193" spans="1:22" x14ac:dyDescent="0.25">
      <c r="A193" s="175"/>
      <c r="B193" s="175"/>
      <c r="C193" s="175"/>
      <c r="D193" s="175"/>
      <c r="E193" s="175"/>
      <c r="F193" s="175"/>
      <c r="G193" s="176"/>
      <c r="H193" s="176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</row>
    <row r="194" spans="1:22" x14ac:dyDescent="0.25">
      <c r="A194" s="175"/>
      <c r="B194" s="175"/>
      <c r="C194" s="175"/>
      <c r="D194" s="175"/>
      <c r="E194" s="175"/>
      <c r="F194" s="175"/>
      <c r="G194" s="176"/>
      <c r="H194" s="176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</row>
    <row r="195" spans="1:22" x14ac:dyDescent="0.25">
      <c r="A195" s="175"/>
      <c r="B195" s="175"/>
      <c r="C195" s="175"/>
      <c r="D195" s="175"/>
      <c r="E195" s="175"/>
      <c r="F195" s="175"/>
      <c r="G195" s="176"/>
      <c r="H195" s="176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</row>
    <row r="196" spans="1:22" x14ac:dyDescent="0.25">
      <c r="A196" s="175"/>
      <c r="B196" s="175"/>
      <c r="C196" s="175"/>
      <c r="D196" s="175"/>
      <c r="E196" s="175"/>
      <c r="F196" s="175"/>
      <c r="G196" s="176"/>
      <c r="H196" s="176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</row>
    <row r="197" spans="1:22" x14ac:dyDescent="0.25">
      <c r="A197" s="175"/>
      <c r="B197" s="175"/>
      <c r="C197" s="175"/>
      <c r="D197" s="175"/>
      <c r="E197" s="175"/>
      <c r="F197" s="175"/>
      <c r="G197" s="176"/>
      <c r="H197" s="176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</row>
    <row r="198" spans="1:22" x14ac:dyDescent="0.25">
      <c r="A198" s="175"/>
      <c r="B198" s="175"/>
      <c r="C198" s="175"/>
      <c r="D198" s="175"/>
      <c r="E198" s="175"/>
      <c r="F198" s="175"/>
      <c r="G198" s="176"/>
      <c r="H198" s="176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</row>
    <row r="199" spans="1:22" x14ac:dyDescent="0.25">
      <c r="A199" s="175"/>
      <c r="B199" s="175"/>
      <c r="C199" s="175"/>
      <c r="D199" s="175"/>
      <c r="E199" s="175"/>
      <c r="F199" s="175"/>
      <c r="G199" s="176"/>
      <c r="H199" s="176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</row>
    <row r="200" spans="1:22" x14ac:dyDescent="0.25">
      <c r="A200" s="175"/>
      <c r="B200" s="175"/>
      <c r="C200" s="175"/>
      <c r="D200" s="175"/>
      <c r="E200" s="175"/>
      <c r="F200" s="175"/>
      <c r="G200" s="176"/>
      <c r="H200" s="176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</row>
    <row r="201" spans="1:22" x14ac:dyDescent="0.25">
      <c r="A201" s="175"/>
      <c r="B201" s="175"/>
      <c r="C201" s="175"/>
      <c r="D201" s="175"/>
      <c r="E201" s="175"/>
      <c r="F201" s="175"/>
      <c r="G201" s="176"/>
      <c r="H201" s="176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</row>
    <row r="202" spans="1:22" x14ac:dyDescent="0.25">
      <c r="A202" s="175"/>
      <c r="B202" s="175"/>
      <c r="C202" s="175"/>
      <c r="D202" s="175"/>
      <c r="E202" s="175"/>
      <c r="F202" s="175"/>
      <c r="G202" s="176"/>
      <c r="H202" s="176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</row>
    <row r="203" spans="1:22" x14ac:dyDescent="0.25">
      <c r="A203" s="175"/>
      <c r="B203" s="175"/>
      <c r="C203" s="175"/>
      <c r="D203" s="175"/>
      <c r="E203" s="175"/>
      <c r="F203" s="175"/>
      <c r="G203" s="176"/>
      <c r="H203" s="176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</row>
  </sheetData>
  <mergeCells count="1">
    <mergeCell ref="P1:U1"/>
  </mergeCells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57:V203 B156:V156">
    <cfRule type="expression" dxfId="1188" priority="634">
      <formula>ISBLANK(A3)</formula>
    </cfRule>
  </conditionalFormatting>
  <conditionalFormatting sqref="A3:V5 D6:D10 G6:G10 J6:V54 D15:D54 H55:V58 J59:V62 D59:D62 A63:E63 H63:V63 D67:D75 A76:E76 H76:I76 D77:D80 A81:E81 H81:I81 D82:D90 A91:E91 H91:I91 D92:D95 A96:E96 H96:I96 D103:D107 G103 G106:G107 G67:G73 G77:G78 G82:G88 G92:G93 A129:I129 J64:V138 A133:I133 G15:G54 H139:V155 A148:G148 A157:V203 B156:V156">
    <cfRule type="expression" dxfId="1187" priority="633">
      <formula>$A3&lt;&gt;""</formula>
    </cfRule>
  </conditionalFormatting>
  <conditionalFormatting sqref="A3:V5 A159:V203 J45:V49 H55:V58 J59:V62 A63:E63 H63:V63 A157:A158 F156:V158">
    <cfRule type="expression" dxfId="1186" priority="632">
      <formula>ISBLANK(A3)</formula>
    </cfRule>
  </conditionalFormatting>
  <conditionalFormatting sqref="K3:O203">
    <cfRule type="expression" dxfId="1185" priority="638">
      <formula>#REF!&lt;&gt;""</formula>
    </cfRule>
  </conditionalFormatting>
  <conditionalFormatting sqref="N2:O2">
    <cfRule type="expression" dxfId="1184" priority="635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1183" priority="636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1182" priority="637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5 D63 D76 D81 D86 D91 D96 D107 D129 D133 D159:D203">
    <cfRule type="expression" dxfId="1181" priority="630">
      <formula>ISBLANK(D3)</formula>
    </cfRule>
  </conditionalFormatting>
  <conditionalFormatting sqref="D3:D5 D63 D76 D81 D86 D91 D96 D107 D129 D133 D159:D203">
    <cfRule type="expression" dxfId="1180" priority="631">
      <formula>$A3&lt;&gt;""</formula>
    </cfRule>
  </conditionalFormatting>
  <conditionalFormatting sqref="G3:G5 G156:G203">
    <cfRule type="expression" dxfId="1179" priority="629">
      <formula>$A3&lt;&gt;""</formula>
    </cfRule>
  </conditionalFormatting>
  <conditionalFormatting sqref="G3:G5 G156:G203">
    <cfRule type="expression" dxfId="1178" priority="628">
      <formula>ISBLANK(G3)</formula>
    </cfRule>
  </conditionalFormatting>
  <conditionalFormatting sqref="P1:R2">
    <cfRule type="containsText" dxfId="1177" priority="627" operator="containsText" text="x">
      <formula>NOT(ISERROR(SEARCH("x",P1)))</formula>
    </cfRule>
  </conditionalFormatting>
  <conditionalFormatting sqref="A16:I19 A15:B15 D15:I15">
    <cfRule type="expression" dxfId="1176" priority="626">
      <formula>ISBLANK(A15)</formula>
    </cfRule>
  </conditionalFormatting>
  <conditionalFormatting sqref="A16:I19 A15:B15 D15:I15">
    <cfRule type="expression" dxfId="1175" priority="625">
      <formula>$A15&lt;&gt;""</formula>
    </cfRule>
  </conditionalFormatting>
  <conditionalFormatting sqref="A16:I19 A15:B15 D15:I15">
    <cfRule type="expression" dxfId="1174" priority="624">
      <formula>ISBLANK(A15)</formula>
    </cfRule>
  </conditionalFormatting>
  <conditionalFormatting sqref="A21:I24 A20:B20 D20:I20">
    <cfRule type="expression" dxfId="1173" priority="619">
      <formula>ISBLANK(A20)</formula>
    </cfRule>
  </conditionalFormatting>
  <conditionalFormatting sqref="A21:I24 A20:B20 D20:I20">
    <cfRule type="expression" dxfId="1172" priority="618">
      <formula>$A20&lt;&gt;""</formula>
    </cfRule>
  </conditionalFormatting>
  <conditionalFormatting sqref="A21:I24 A20:B20 D20:I20">
    <cfRule type="expression" dxfId="1171" priority="617">
      <formula>ISBLANK(A20)</formula>
    </cfRule>
  </conditionalFormatting>
  <conditionalFormatting sqref="A26:I29 A25:B25 D25:I25">
    <cfRule type="expression" dxfId="1170" priority="616">
      <formula>ISBLANK(A25)</formula>
    </cfRule>
  </conditionalFormatting>
  <conditionalFormatting sqref="A26:I29 A25:B25 D25:I25">
    <cfRule type="expression" dxfId="1169" priority="615">
      <formula>$A25&lt;&gt;""</formula>
    </cfRule>
  </conditionalFormatting>
  <conditionalFormatting sqref="A26:I29 A25:B25 D25:I25">
    <cfRule type="expression" dxfId="1168" priority="614">
      <formula>ISBLANK(A25)</formula>
    </cfRule>
  </conditionalFormatting>
  <conditionalFormatting sqref="A31:I34 A30:B30 D30:I30">
    <cfRule type="expression" dxfId="1167" priority="613">
      <formula>ISBLANK(A30)</formula>
    </cfRule>
  </conditionalFormatting>
  <conditionalFormatting sqref="A31:I34 A30:B30 D30:I30">
    <cfRule type="expression" dxfId="1166" priority="612">
      <formula>$A30&lt;&gt;""</formula>
    </cfRule>
  </conditionalFormatting>
  <conditionalFormatting sqref="A31:I34 A30:B30 D30:I30">
    <cfRule type="expression" dxfId="1165" priority="611">
      <formula>ISBLANK(A30)</formula>
    </cfRule>
  </conditionalFormatting>
  <conditionalFormatting sqref="A36:E39 G35:I39 A35:B35 D35:E35">
    <cfRule type="expression" dxfId="1164" priority="610">
      <formula>ISBLANK(A35)</formula>
    </cfRule>
  </conditionalFormatting>
  <conditionalFormatting sqref="A36:E39 G35:I39 A35:B35 D35:E35">
    <cfRule type="expression" dxfId="1163" priority="609">
      <formula>$A35&lt;&gt;""</formula>
    </cfRule>
  </conditionalFormatting>
  <conditionalFormatting sqref="A36:E39 G35:I39 A35:B35 D35:E35">
    <cfRule type="expression" dxfId="1162" priority="608">
      <formula>ISBLANK(A35)</formula>
    </cfRule>
  </conditionalFormatting>
  <conditionalFormatting sqref="A41:I44 A40 D40:I40">
    <cfRule type="expression" dxfId="1161" priority="607">
      <formula>ISBLANK(A40)</formula>
    </cfRule>
  </conditionalFormatting>
  <conditionalFormatting sqref="A41:I44 A40 D40:I40">
    <cfRule type="expression" dxfId="1160" priority="606">
      <formula>$A40&lt;&gt;""</formula>
    </cfRule>
  </conditionalFormatting>
  <conditionalFormatting sqref="A41:I44 A40 D40:I40">
    <cfRule type="expression" dxfId="1159" priority="605">
      <formula>ISBLANK(A40)</formula>
    </cfRule>
  </conditionalFormatting>
  <conditionalFormatting sqref="F35:F39">
    <cfRule type="expression" dxfId="1158" priority="601">
      <formula>ISBLANK(F35)</formula>
    </cfRule>
  </conditionalFormatting>
  <conditionalFormatting sqref="F35:F39">
    <cfRule type="expression" dxfId="1157" priority="600">
      <formula>$A35&lt;&gt;""</formula>
    </cfRule>
  </conditionalFormatting>
  <conditionalFormatting sqref="F35:F39">
    <cfRule type="expression" dxfId="1156" priority="599">
      <formula>ISBLANK(F35)</formula>
    </cfRule>
  </conditionalFormatting>
  <conditionalFormatting sqref="B40">
    <cfRule type="expression" dxfId="1155" priority="598">
      <formula>ISBLANK(B40)</formula>
    </cfRule>
  </conditionalFormatting>
  <conditionalFormatting sqref="B40">
    <cfRule type="expression" dxfId="1154" priority="597">
      <formula>$A40&lt;&gt;""</formula>
    </cfRule>
  </conditionalFormatting>
  <conditionalFormatting sqref="B40">
    <cfRule type="expression" dxfId="1153" priority="596">
      <formula>ISBLANK(B40)</formula>
    </cfRule>
  </conditionalFormatting>
  <conditionalFormatting sqref="A46:I49 A45:B45 D45:I45">
    <cfRule type="expression" dxfId="1152" priority="595">
      <formula>ISBLANK(A45)</formula>
    </cfRule>
  </conditionalFormatting>
  <conditionalFormatting sqref="A46:I49 A45:B45 D45:I45">
    <cfRule type="expression" dxfId="1151" priority="594">
      <formula>$A45&lt;&gt;""</formula>
    </cfRule>
  </conditionalFormatting>
  <conditionalFormatting sqref="A46:I49 A45:B45 D45:I45">
    <cfRule type="expression" dxfId="1150" priority="593">
      <formula>ISBLANK(A45)</formula>
    </cfRule>
  </conditionalFormatting>
  <conditionalFormatting sqref="G41:G42">
    <cfRule type="expression" dxfId="1149" priority="592">
      <formula>ISBLANK(G41)</formula>
    </cfRule>
  </conditionalFormatting>
  <conditionalFormatting sqref="G41:G42">
    <cfRule type="expression" dxfId="1148" priority="591">
      <formula>$A41&lt;&gt;""</formula>
    </cfRule>
  </conditionalFormatting>
  <conditionalFormatting sqref="G41:G42">
    <cfRule type="expression" dxfId="1147" priority="590">
      <formula>ISBLANK(G41)</formula>
    </cfRule>
  </conditionalFormatting>
  <conditionalFormatting sqref="G46:G47">
    <cfRule type="expression" dxfId="1146" priority="589">
      <formula>ISBLANK(G46)</formula>
    </cfRule>
  </conditionalFormatting>
  <conditionalFormatting sqref="G46:G47">
    <cfRule type="expression" dxfId="1145" priority="588">
      <formula>$A46&lt;&gt;""</formula>
    </cfRule>
  </conditionalFormatting>
  <conditionalFormatting sqref="G46:G47">
    <cfRule type="expression" dxfId="1144" priority="587">
      <formula>ISBLANK(G46)</formula>
    </cfRule>
  </conditionalFormatting>
  <conditionalFormatting sqref="A6:I10 H11:I14">
    <cfRule type="expression" dxfId="1143" priority="586">
      <formula>ISBLANK(A6)</formula>
    </cfRule>
  </conditionalFormatting>
  <conditionalFormatting sqref="A6:I10 H11:I14">
    <cfRule type="expression" dxfId="1142" priority="585">
      <formula>$A6&lt;&gt;""</formula>
    </cfRule>
  </conditionalFormatting>
  <conditionalFormatting sqref="A6:I10 H11:I14">
    <cfRule type="expression" dxfId="1141" priority="584">
      <formula>ISBLANK(A6)</formula>
    </cfRule>
  </conditionalFormatting>
  <conditionalFormatting sqref="A51:I54 A50:B50 D50:I50">
    <cfRule type="expression" dxfId="1140" priority="583">
      <formula>ISBLANK(A50)</formula>
    </cfRule>
  </conditionalFormatting>
  <conditionalFormatting sqref="A51:I54 A50:B50 D50:I50">
    <cfRule type="expression" dxfId="1139" priority="582">
      <formula>$A50&lt;&gt;""</formula>
    </cfRule>
  </conditionalFormatting>
  <conditionalFormatting sqref="A51:I54 A50:B50 D50:I50">
    <cfRule type="expression" dxfId="1138" priority="581">
      <formula>ISBLANK(A50)</formula>
    </cfRule>
  </conditionalFormatting>
  <conditionalFormatting sqref="G51:G52">
    <cfRule type="expression" dxfId="1137" priority="580">
      <formula>ISBLANK(G51)</formula>
    </cfRule>
  </conditionalFormatting>
  <conditionalFormatting sqref="G51:G52">
    <cfRule type="expression" dxfId="1136" priority="579">
      <formula>$A51&lt;&gt;""</formula>
    </cfRule>
  </conditionalFormatting>
  <conditionalFormatting sqref="G51:G52">
    <cfRule type="expression" dxfId="1135" priority="578">
      <formula>ISBLANK(G51)</formula>
    </cfRule>
  </conditionalFormatting>
  <conditionalFormatting sqref="G51:G52">
    <cfRule type="expression" dxfId="1134" priority="577">
      <formula>ISBLANK(G51)</formula>
    </cfRule>
  </conditionalFormatting>
  <conditionalFormatting sqref="G51:G52">
    <cfRule type="expression" dxfId="1133" priority="576">
      <formula>$A51&lt;&gt;""</formula>
    </cfRule>
  </conditionalFormatting>
  <conditionalFormatting sqref="G51:G52">
    <cfRule type="expression" dxfId="1132" priority="575">
      <formula>ISBLANK(G51)</formula>
    </cfRule>
  </conditionalFormatting>
  <conditionalFormatting sqref="A11:B11 A13:G14 A12:F12 D11:G11">
    <cfRule type="expression" dxfId="1131" priority="574">
      <formula>ISBLANK(A11)</formula>
    </cfRule>
  </conditionalFormatting>
  <conditionalFormatting sqref="A11:B11 A13:G14 A12:F12 D11:G11">
    <cfRule type="expression" dxfId="1130" priority="573">
      <formula>$A11&lt;&gt;""</formula>
    </cfRule>
  </conditionalFormatting>
  <conditionalFormatting sqref="A11:B11 A13:G14 A12:F12 D11:G11">
    <cfRule type="expression" dxfId="1129" priority="572">
      <formula>ISBLANK(A11)</formula>
    </cfRule>
  </conditionalFormatting>
  <conditionalFormatting sqref="G12">
    <cfRule type="expression" dxfId="1128" priority="571">
      <formula>ISBLANK(G12)</formula>
    </cfRule>
  </conditionalFormatting>
  <conditionalFormatting sqref="G12">
    <cfRule type="expression" dxfId="1127" priority="570">
      <formula>$A12&lt;&gt;""</formula>
    </cfRule>
  </conditionalFormatting>
  <conditionalFormatting sqref="G12">
    <cfRule type="expression" dxfId="1126" priority="569">
      <formula>ISBLANK(G12)</formula>
    </cfRule>
  </conditionalFormatting>
  <conditionalFormatting sqref="G12">
    <cfRule type="expression" dxfId="1125" priority="568">
      <formula>$A12&lt;&gt;""</formula>
    </cfRule>
  </conditionalFormatting>
  <conditionalFormatting sqref="G12">
    <cfRule type="expression" dxfId="1124" priority="567">
      <formula>ISBLANK(G12)</formula>
    </cfRule>
  </conditionalFormatting>
  <conditionalFormatting sqref="B55 A57:G58 A56:F56 D55:G55">
    <cfRule type="expression" dxfId="1123" priority="566">
      <formula>ISBLANK(A55)</formula>
    </cfRule>
  </conditionalFormatting>
  <conditionalFormatting sqref="B55 A57:G58 A56:F56 D55:G55">
    <cfRule type="expression" dxfId="1122" priority="565">
      <formula>$A55&lt;&gt;""</formula>
    </cfRule>
  </conditionalFormatting>
  <conditionalFormatting sqref="B55 A57:G58 A56:F56 D55:G55">
    <cfRule type="expression" dxfId="1121" priority="564">
      <formula>ISBLANK(A55)</formula>
    </cfRule>
  </conditionalFormatting>
  <conditionalFormatting sqref="A60:E62 H59:I62 A59:B59 D59:E59">
    <cfRule type="expression" dxfId="1120" priority="558">
      <formula>ISBLANK(A59)</formula>
    </cfRule>
  </conditionalFormatting>
  <conditionalFormatting sqref="A60:E62 H59:I62 A59:B59 D59:E59">
    <cfRule type="expression" dxfId="1119" priority="557">
      <formula>$A59&lt;&gt;""</formula>
    </cfRule>
  </conditionalFormatting>
  <conditionalFormatting sqref="A60:E62 H59:I62 A59:B59 D59:E59">
    <cfRule type="expression" dxfId="1118" priority="556">
      <formula>ISBLANK(A59)</formula>
    </cfRule>
  </conditionalFormatting>
  <conditionalFormatting sqref="F59:G59 F61:G62 F60">
    <cfRule type="expression" dxfId="1117" priority="552">
      <formula>ISBLANK(F59)</formula>
    </cfRule>
  </conditionalFormatting>
  <conditionalFormatting sqref="F59:G59 F61:G62 F60">
    <cfRule type="expression" dxfId="1116" priority="551">
      <formula>$A59&lt;&gt;""</formula>
    </cfRule>
  </conditionalFormatting>
  <conditionalFormatting sqref="F59:G59 F61:G62 F60">
    <cfRule type="expression" dxfId="1115" priority="550">
      <formula>ISBLANK(F59)</formula>
    </cfRule>
  </conditionalFormatting>
  <conditionalFormatting sqref="F63:G63">
    <cfRule type="expression" dxfId="1114" priority="549">
      <formula>ISBLANK(F63)</formula>
    </cfRule>
  </conditionalFormatting>
  <conditionalFormatting sqref="F63:G63">
    <cfRule type="expression" dxfId="1113" priority="548">
      <formula>$A63&lt;&gt;""</formula>
    </cfRule>
  </conditionalFormatting>
  <conditionalFormatting sqref="F63:G63">
    <cfRule type="expression" dxfId="1112" priority="547">
      <formula>ISBLANK(F63)</formula>
    </cfRule>
  </conditionalFormatting>
  <conditionalFormatting sqref="A65:C66 E64:I66 B64">
    <cfRule type="expression" dxfId="1111" priority="546">
      <formula>ISBLANK(A64)</formula>
    </cfRule>
  </conditionalFormatting>
  <conditionalFormatting sqref="A65:I66 B64 D64:I64">
    <cfRule type="expression" dxfId="1110" priority="545">
      <formula>$A64&lt;&gt;""</formula>
    </cfRule>
  </conditionalFormatting>
  <conditionalFormatting sqref="A65:I66 B64 D64:I64">
    <cfRule type="expression" dxfId="1109" priority="544">
      <formula>ISBLANK(A64)</formula>
    </cfRule>
  </conditionalFormatting>
  <conditionalFormatting sqref="D64:D66">
    <cfRule type="expression" dxfId="1108" priority="543">
      <formula>ISBLANK(D64)</formula>
    </cfRule>
  </conditionalFormatting>
  <conditionalFormatting sqref="F64:F66">
    <cfRule type="expression" dxfId="1107" priority="541">
      <formula>$A64&lt;&gt;""</formula>
    </cfRule>
  </conditionalFormatting>
  <conditionalFormatting sqref="F64:F66">
    <cfRule type="expression" dxfId="1106" priority="542">
      <formula>ISBLANK(F64)</formula>
    </cfRule>
  </conditionalFormatting>
  <conditionalFormatting sqref="A64">
    <cfRule type="expression" dxfId="1105" priority="540">
      <formula>ISBLANK(A64)</formula>
    </cfRule>
  </conditionalFormatting>
  <conditionalFormatting sqref="A64">
    <cfRule type="expression" dxfId="1104" priority="539">
      <formula>$A64&lt;&gt;""</formula>
    </cfRule>
  </conditionalFormatting>
  <conditionalFormatting sqref="A64">
    <cfRule type="expression" dxfId="1103" priority="538">
      <formula>ISBLANK(A64)</formula>
    </cfRule>
  </conditionalFormatting>
  <conditionalFormatting sqref="A55">
    <cfRule type="expression" dxfId="1102" priority="537">
      <formula>ISBLANK(A55)</formula>
    </cfRule>
  </conditionalFormatting>
  <conditionalFormatting sqref="A55">
    <cfRule type="expression" dxfId="1101" priority="536">
      <formula>$A55&lt;&gt;""</formula>
    </cfRule>
  </conditionalFormatting>
  <conditionalFormatting sqref="A55">
    <cfRule type="expression" dxfId="1100" priority="535">
      <formula>ISBLANK(A55)</formula>
    </cfRule>
  </conditionalFormatting>
  <conditionalFormatting sqref="A68:I71 A67:B67 D67:I67">
    <cfRule type="expression" dxfId="1099" priority="534">
      <formula>ISBLANK(A67)</formula>
    </cfRule>
  </conditionalFormatting>
  <conditionalFormatting sqref="A68:I71 A67:B67 D67:I67">
    <cfRule type="expression" dxfId="1098" priority="533">
      <formula>$A67&lt;&gt;""</formula>
    </cfRule>
  </conditionalFormatting>
  <conditionalFormatting sqref="A68:I71 A67:B67 D67:I67">
    <cfRule type="expression" dxfId="1097" priority="532">
      <formula>ISBLANK(A67)</formula>
    </cfRule>
  </conditionalFormatting>
  <conditionalFormatting sqref="G68:G69">
    <cfRule type="expression" dxfId="1096" priority="531">
      <formula>ISBLANK(G68)</formula>
    </cfRule>
  </conditionalFormatting>
  <conditionalFormatting sqref="G68:G69">
    <cfRule type="expression" dxfId="1095" priority="530">
      <formula>$A68&lt;&gt;""</formula>
    </cfRule>
  </conditionalFormatting>
  <conditionalFormatting sqref="G68:G69">
    <cfRule type="expression" dxfId="1094" priority="529">
      <formula>ISBLANK(G68)</formula>
    </cfRule>
  </conditionalFormatting>
  <conditionalFormatting sqref="G68:G69">
    <cfRule type="expression" dxfId="1093" priority="528">
      <formula>ISBLANK(G68)</formula>
    </cfRule>
  </conditionalFormatting>
  <conditionalFormatting sqref="G68:G69">
    <cfRule type="expression" dxfId="1092" priority="527">
      <formula>$A68&lt;&gt;""</formula>
    </cfRule>
  </conditionalFormatting>
  <conditionalFormatting sqref="G68:G69">
    <cfRule type="expression" dxfId="1091" priority="526">
      <formula>ISBLANK(G68)</formula>
    </cfRule>
  </conditionalFormatting>
  <conditionalFormatting sqref="G56">
    <cfRule type="expression" dxfId="1090" priority="525">
      <formula>ISBLANK(G56)</formula>
    </cfRule>
  </conditionalFormatting>
  <conditionalFormatting sqref="G56">
    <cfRule type="expression" dxfId="1089" priority="524">
      <formula>$A56&lt;&gt;""</formula>
    </cfRule>
  </conditionalFormatting>
  <conditionalFormatting sqref="G56">
    <cfRule type="expression" dxfId="1088" priority="523">
      <formula>ISBLANK(G56)</formula>
    </cfRule>
  </conditionalFormatting>
  <conditionalFormatting sqref="G56">
    <cfRule type="expression" dxfId="1087" priority="522">
      <formula>$A56&lt;&gt;""</formula>
    </cfRule>
  </conditionalFormatting>
  <conditionalFormatting sqref="G56">
    <cfRule type="expression" dxfId="1086" priority="521">
      <formula>ISBLANK(G56)</formula>
    </cfRule>
  </conditionalFormatting>
  <conditionalFormatting sqref="G56">
    <cfRule type="expression" dxfId="1085" priority="520">
      <formula>ISBLANK(G56)</formula>
    </cfRule>
  </conditionalFormatting>
  <conditionalFormatting sqref="G56">
    <cfRule type="expression" dxfId="1084" priority="519">
      <formula>$A56&lt;&gt;""</formula>
    </cfRule>
  </conditionalFormatting>
  <conditionalFormatting sqref="G56">
    <cfRule type="expression" dxfId="1083" priority="518">
      <formula>ISBLANK(G56)</formula>
    </cfRule>
  </conditionalFormatting>
  <conditionalFormatting sqref="G56">
    <cfRule type="expression" dxfId="1082" priority="517">
      <formula>ISBLANK(G56)</formula>
    </cfRule>
  </conditionalFormatting>
  <conditionalFormatting sqref="G56">
    <cfRule type="expression" dxfId="1081" priority="516">
      <formula>$A56&lt;&gt;""</formula>
    </cfRule>
  </conditionalFormatting>
  <conditionalFormatting sqref="G56">
    <cfRule type="expression" dxfId="1080" priority="515">
      <formula>ISBLANK(G56)</formula>
    </cfRule>
  </conditionalFormatting>
  <conditionalFormatting sqref="A76:E76 H76:I76">
    <cfRule type="expression" dxfId="1079" priority="505">
      <formula>ISBLANK(A76)</formula>
    </cfRule>
  </conditionalFormatting>
  <conditionalFormatting sqref="A73:E75 H72:I75 A72:B72 D72:E72">
    <cfRule type="expression" dxfId="1078" priority="504">
      <formula>ISBLANK(A72)</formula>
    </cfRule>
  </conditionalFormatting>
  <conditionalFormatting sqref="A73:E75 H72:I75 A72:B72 D72:E72">
    <cfRule type="expression" dxfId="1077" priority="503">
      <formula>$A72&lt;&gt;""</formula>
    </cfRule>
  </conditionalFormatting>
  <conditionalFormatting sqref="A73:E75 H72:I75 A72:B72 D72:E72">
    <cfRule type="expression" dxfId="1076" priority="502">
      <formula>ISBLANK(A72)</formula>
    </cfRule>
  </conditionalFormatting>
  <conditionalFormatting sqref="F74:G75 F72:F73">
    <cfRule type="expression" dxfId="1075" priority="501">
      <formula>ISBLANK(F72)</formula>
    </cfRule>
  </conditionalFormatting>
  <conditionalFormatting sqref="F74:G75 F72:F73">
    <cfRule type="expression" dxfId="1074" priority="500">
      <formula>$A72&lt;&gt;""</formula>
    </cfRule>
  </conditionalFormatting>
  <conditionalFormatting sqref="F74:G75 F72:F73">
    <cfRule type="expression" dxfId="1073" priority="499">
      <formula>ISBLANK(F72)</formula>
    </cfRule>
  </conditionalFormatting>
  <conditionalFormatting sqref="F76:G76">
    <cfRule type="expression" dxfId="1072" priority="498">
      <formula>ISBLANK(F76)</formula>
    </cfRule>
  </conditionalFormatting>
  <conditionalFormatting sqref="F76:G76">
    <cfRule type="expression" dxfId="1071" priority="497">
      <formula>$A76&lt;&gt;""</formula>
    </cfRule>
  </conditionalFormatting>
  <conditionalFormatting sqref="F76:G76">
    <cfRule type="expression" dxfId="1070" priority="496">
      <formula>ISBLANK(F76)</formula>
    </cfRule>
  </conditionalFormatting>
  <conditionalFormatting sqref="G72:G73">
    <cfRule type="expression" dxfId="1069" priority="495">
      <formula>ISBLANK(G72)</formula>
    </cfRule>
  </conditionalFormatting>
  <conditionalFormatting sqref="G72:G73">
    <cfRule type="expression" dxfId="1068" priority="494">
      <formula>$A72&lt;&gt;""</formula>
    </cfRule>
  </conditionalFormatting>
  <conditionalFormatting sqref="G72:G73">
    <cfRule type="expression" dxfId="1067" priority="493">
      <formula>ISBLANK(G72)</formula>
    </cfRule>
  </conditionalFormatting>
  <conditionalFormatting sqref="G72:G73">
    <cfRule type="expression" dxfId="1066" priority="492">
      <formula>ISBLANK(G72)</formula>
    </cfRule>
  </conditionalFormatting>
  <conditionalFormatting sqref="G72:G73">
    <cfRule type="expression" dxfId="1065" priority="491">
      <formula>$A72&lt;&gt;""</formula>
    </cfRule>
  </conditionalFormatting>
  <conditionalFormatting sqref="G72:G73">
    <cfRule type="expression" dxfId="1064" priority="490">
      <formula>ISBLANK(G72)</formula>
    </cfRule>
  </conditionalFormatting>
  <conditionalFormatting sqref="G72:G73">
    <cfRule type="expression" dxfId="1063" priority="489">
      <formula>ISBLANK(G72)</formula>
    </cfRule>
  </conditionalFormatting>
  <conditionalFormatting sqref="G72:G73">
    <cfRule type="expression" dxfId="1062" priority="488">
      <formula>$A72&lt;&gt;""</formula>
    </cfRule>
  </conditionalFormatting>
  <conditionalFormatting sqref="G72:G73">
    <cfRule type="expression" dxfId="1061" priority="487">
      <formula>ISBLANK(G72)</formula>
    </cfRule>
  </conditionalFormatting>
  <conditionalFormatting sqref="A81:E81 H81:I81">
    <cfRule type="expression" dxfId="1060" priority="486">
      <formula>ISBLANK(A81)</formula>
    </cfRule>
  </conditionalFormatting>
  <conditionalFormatting sqref="A78:E80 H77:I80 A77:B77 D77:E77">
    <cfRule type="expression" dxfId="1059" priority="485">
      <formula>ISBLANK(A77)</formula>
    </cfRule>
  </conditionalFormatting>
  <conditionalFormatting sqref="A78:E80 H77:I80 A77:B77 D77:E77">
    <cfRule type="expression" dxfId="1058" priority="484">
      <formula>$A77&lt;&gt;""</formula>
    </cfRule>
  </conditionalFormatting>
  <conditionalFormatting sqref="A78:E80 H77:I80 A77:B77 D77:E77">
    <cfRule type="expression" dxfId="1057" priority="483">
      <formula>ISBLANK(A77)</formula>
    </cfRule>
  </conditionalFormatting>
  <conditionalFormatting sqref="F79:G80 F77:F78">
    <cfRule type="expression" dxfId="1056" priority="482">
      <formula>ISBLANK(F77)</formula>
    </cfRule>
  </conditionalFormatting>
  <conditionalFormatting sqref="F79:G80 F77:F78">
    <cfRule type="expression" dxfId="1055" priority="481">
      <formula>$A77&lt;&gt;""</formula>
    </cfRule>
  </conditionalFormatting>
  <conditionalFormatting sqref="F79:G80 F77:F78">
    <cfRule type="expression" dxfId="1054" priority="480">
      <formula>ISBLANK(F77)</formula>
    </cfRule>
  </conditionalFormatting>
  <conditionalFormatting sqref="F81:G81">
    <cfRule type="expression" dxfId="1053" priority="479">
      <formula>ISBLANK(F81)</formula>
    </cfRule>
  </conditionalFormatting>
  <conditionalFormatting sqref="F81:G81">
    <cfRule type="expression" dxfId="1052" priority="478">
      <formula>$A81&lt;&gt;""</formula>
    </cfRule>
  </conditionalFormatting>
  <conditionalFormatting sqref="F81:G81">
    <cfRule type="expression" dxfId="1051" priority="477">
      <formula>ISBLANK(F81)</formula>
    </cfRule>
  </conditionalFormatting>
  <conditionalFormatting sqref="G77:G78">
    <cfRule type="expression" dxfId="1050" priority="476">
      <formula>ISBLANK(G77)</formula>
    </cfRule>
  </conditionalFormatting>
  <conditionalFormatting sqref="G77:G78">
    <cfRule type="expression" dxfId="1049" priority="475">
      <formula>$A77&lt;&gt;""</formula>
    </cfRule>
  </conditionalFormatting>
  <conditionalFormatting sqref="G77:G78">
    <cfRule type="expression" dxfId="1048" priority="474">
      <formula>ISBLANK(G77)</formula>
    </cfRule>
  </conditionalFormatting>
  <conditionalFormatting sqref="G77:G78">
    <cfRule type="expression" dxfId="1047" priority="473">
      <formula>ISBLANK(G77)</formula>
    </cfRule>
  </conditionalFormatting>
  <conditionalFormatting sqref="G77:G78">
    <cfRule type="expression" dxfId="1046" priority="472">
      <formula>$A77&lt;&gt;""</formula>
    </cfRule>
  </conditionalFormatting>
  <conditionalFormatting sqref="G77:G78">
    <cfRule type="expression" dxfId="1045" priority="471">
      <formula>ISBLANK(G77)</formula>
    </cfRule>
  </conditionalFormatting>
  <conditionalFormatting sqref="G77:G78">
    <cfRule type="expression" dxfId="1044" priority="470">
      <formula>ISBLANK(G77)</formula>
    </cfRule>
  </conditionalFormatting>
  <conditionalFormatting sqref="G77:G78">
    <cfRule type="expression" dxfId="1043" priority="469">
      <formula>$A77&lt;&gt;""</formula>
    </cfRule>
  </conditionalFormatting>
  <conditionalFormatting sqref="G77:G78">
    <cfRule type="expression" dxfId="1042" priority="468">
      <formula>ISBLANK(G77)</formula>
    </cfRule>
  </conditionalFormatting>
  <conditionalFormatting sqref="D86">
    <cfRule type="expression" dxfId="1041" priority="467">
      <formula>ISBLANK(D86)</formula>
    </cfRule>
  </conditionalFormatting>
  <conditionalFormatting sqref="D82:D85">
    <cfRule type="expression" dxfId="1040" priority="466">
      <formula>ISBLANK(D82)</formula>
    </cfRule>
  </conditionalFormatting>
  <conditionalFormatting sqref="D82:D85">
    <cfRule type="expression" dxfId="1039" priority="465">
      <formula>$A82&lt;&gt;""</formula>
    </cfRule>
  </conditionalFormatting>
  <conditionalFormatting sqref="D82:D85">
    <cfRule type="expression" dxfId="1038" priority="464">
      <formula>ISBLANK(D82)</formula>
    </cfRule>
  </conditionalFormatting>
  <conditionalFormatting sqref="A83:C86 A82:B82">
    <cfRule type="expression" dxfId="1037" priority="448">
      <formula>ISBLANK(A82)</formula>
    </cfRule>
  </conditionalFormatting>
  <conditionalFormatting sqref="A83:C86 A82:B82">
    <cfRule type="expression" dxfId="1036" priority="447">
      <formula>$A82&lt;&gt;""</formula>
    </cfRule>
  </conditionalFormatting>
  <conditionalFormatting sqref="A83:C86 A82:B82">
    <cfRule type="expression" dxfId="1035" priority="446">
      <formula>ISBLANK(A82)</formula>
    </cfRule>
  </conditionalFormatting>
  <conditionalFormatting sqref="E82:I86">
    <cfRule type="expression" dxfId="1034" priority="445">
      <formula>ISBLANK(E82)</formula>
    </cfRule>
  </conditionalFormatting>
  <conditionalFormatting sqref="E82:I86">
    <cfRule type="expression" dxfId="1033" priority="444">
      <formula>$A82&lt;&gt;""</formula>
    </cfRule>
  </conditionalFormatting>
  <conditionalFormatting sqref="E82:I86">
    <cfRule type="expression" dxfId="1032" priority="443">
      <formula>ISBLANK(E82)</formula>
    </cfRule>
  </conditionalFormatting>
  <conditionalFormatting sqref="G83:G84">
    <cfRule type="expression" dxfId="1031" priority="442">
      <formula>ISBLANK(G83)</formula>
    </cfRule>
  </conditionalFormatting>
  <conditionalFormatting sqref="G83:G84">
    <cfRule type="expression" dxfId="1030" priority="441">
      <formula>$A83&lt;&gt;""</formula>
    </cfRule>
  </conditionalFormatting>
  <conditionalFormatting sqref="G83:G84">
    <cfRule type="expression" dxfId="1029" priority="440">
      <formula>ISBLANK(G83)</formula>
    </cfRule>
  </conditionalFormatting>
  <conditionalFormatting sqref="G83:G84">
    <cfRule type="expression" dxfId="1028" priority="439">
      <formula>ISBLANK(G83)</formula>
    </cfRule>
  </conditionalFormatting>
  <conditionalFormatting sqref="G83:G84">
    <cfRule type="expression" dxfId="1027" priority="438">
      <formula>$A83&lt;&gt;""</formula>
    </cfRule>
  </conditionalFormatting>
  <conditionalFormatting sqref="G83:G84">
    <cfRule type="expression" dxfId="1026" priority="437">
      <formula>ISBLANK(G83)</formula>
    </cfRule>
  </conditionalFormatting>
  <conditionalFormatting sqref="A91:E91 H91:I91">
    <cfRule type="expression" dxfId="1025" priority="436">
      <formula>ISBLANK(A91)</formula>
    </cfRule>
  </conditionalFormatting>
  <conditionalFormatting sqref="A87:E90 H87:I90">
    <cfRule type="expression" dxfId="1024" priority="435">
      <formula>ISBLANK(A87)</formula>
    </cfRule>
  </conditionalFormatting>
  <conditionalFormatting sqref="A87:E90 H87:I90">
    <cfRule type="expression" dxfId="1023" priority="434">
      <formula>$A87&lt;&gt;""</formula>
    </cfRule>
  </conditionalFormatting>
  <conditionalFormatting sqref="A87:E90 H87:I90">
    <cfRule type="expression" dxfId="1022" priority="433">
      <formula>ISBLANK(A87)</formula>
    </cfRule>
  </conditionalFormatting>
  <conditionalFormatting sqref="F89:G90 F87:F88">
    <cfRule type="expression" dxfId="1021" priority="432">
      <formula>ISBLANK(F87)</formula>
    </cfRule>
  </conditionalFormatting>
  <conditionalFormatting sqref="F89:G90 F87:F88">
    <cfRule type="expression" dxfId="1020" priority="431">
      <formula>$A87&lt;&gt;""</formula>
    </cfRule>
  </conditionalFormatting>
  <conditionalFormatting sqref="F89:G90 F87:F88">
    <cfRule type="expression" dxfId="1019" priority="430">
      <formula>ISBLANK(F87)</formula>
    </cfRule>
  </conditionalFormatting>
  <conditionalFormatting sqref="F91:G91">
    <cfRule type="expression" dxfId="1018" priority="429">
      <formula>ISBLANK(F91)</formula>
    </cfRule>
  </conditionalFormatting>
  <conditionalFormatting sqref="F91:G91">
    <cfRule type="expression" dxfId="1017" priority="428">
      <formula>$A91&lt;&gt;""</formula>
    </cfRule>
  </conditionalFormatting>
  <conditionalFormatting sqref="F91:G91">
    <cfRule type="expression" dxfId="1016" priority="427">
      <formula>ISBLANK(F91)</formula>
    </cfRule>
  </conditionalFormatting>
  <conditionalFormatting sqref="G87:G88">
    <cfRule type="expression" dxfId="1015" priority="426">
      <formula>ISBLANK(G87)</formula>
    </cfRule>
  </conditionalFormatting>
  <conditionalFormatting sqref="G87:G88">
    <cfRule type="expression" dxfId="1014" priority="425">
      <formula>$A87&lt;&gt;""</formula>
    </cfRule>
  </conditionalFormatting>
  <conditionalFormatting sqref="G87:G88">
    <cfRule type="expression" dxfId="1013" priority="424">
      <formula>ISBLANK(G87)</formula>
    </cfRule>
  </conditionalFormatting>
  <conditionalFormatting sqref="G87:G88">
    <cfRule type="expression" dxfId="1012" priority="423">
      <formula>ISBLANK(G87)</formula>
    </cfRule>
  </conditionalFormatting>
  <conditionalFormatting sqref="G87:G88">
    <cfRule type="expression" dxfId="1011" priority="422">
      <formula>$A87&lt;&gt;""</formula>
    </cfRule>
  </conditionalFormatting>
  <conditionalFormatting sqref="G87:G88">
    <cfRule type="expression" dxfId="1010" priority="421">
      <formula>ISBLANK(G87)</formula>
    </cfRule>
  </conditionalFormatting>
  <conditionalFormatting sqref="G87:G88">
    <cfRule type="expression" dxfId="1009" priority="420">
      <formula>ISBLANK(G87)</formula>
    </cfRule>
  </conditionalFormatting>
  <conditionalFormatting sqref="G87:G88">
    <cfRule type="expression" dxfId="1008" priority="419">
      <formula>$A87&lt;&gt;""</formula>
    </cfRule>
  </conditionalFormatting>
  <conditionalFormatting sqref="G87:G88">
    <cfRule type="expression" dxfId="1007" priority="418">
      <formula>ISBLANK(G87)</formula>
    </cfRule>
  </conditionalFormatting>
  <conditionalFormatting sqref="A96:E96 H96:I96">
    <cfRule type="expression" dxfId="1006" priority="417">
      <formula>ISBLANK(A96)</formula>
    </cfRule>
  </conditionalFormatting>
  <conditionalFormatting sqref="A93:E95 H92:I95 A92:B92 D92:E92">
    <cfRule type="expression" dxfId="1005" priority="416">
      <formula>ISBLANK(A92)</formula>
    </cfRule>
  </conditionalFormatting>
  <conditionalFormatting sqref="A93:E95 H92:I95 A92:B92 D92:E92">
    <cfRule type="expression" dxfId="1004" priority="415">
      <formula>$A92&lt;&gt;""</formula>
    </cfRule>
  </conditionalFormatting>
  <conditionalFormatting sqref="A93:E95 H92:I95 A92:B92 D92:E92">
    <cfRule type="expression" dxfId="1003" priority="414">
      <formula>ISBLANK(A92)</formula>
    </cfRule>
  </conditionalFormatting>
  <conditionalFormatting sqref="F94:G95 F92:F93">
    <cfRule type="expression" dxfId="1002" priority="413">
      <formula>ISBLANK(F92)</formula>
    </cfRule>
  </conditionalFormatting>
  <conditionalFormatting sqref="F94:G95 F92:F93">
    <cfRule type="expression" dxfId="1001" priority="412">
      <formula>$A92&lt;&gt;""</formula>
    </cfRule>
  </conditionalFormatting>
  <conditionalFormatting sqref="F94:G95 F92:F93">
    <cfRule type="expression" dxfId="1000" priority="411">
      <formula>ISBLANK(F92)</formula>
    </cfRule>
  </conditionalFormatting>
  <conditionalFormatting sqref="F96:G96">
    <cfRule type="expression" dxfId="999" priority="410">
      <formula>ISBLANK(F96)</formula>
    </cfRule>
  </conditionalFormatting>
  <conditionalFormatting sqref="F96:G96">
    <cfRule type="expression" dxfId="998" priority="409">
      <formula>$A96&lt;&gt;""</formula>
    </cfRule>
  </conditionalFormatting>
  <conditionalFormatting sqref="F96:G96">
    <cfRule type="expression" dxfId="997" priority="408">
      <formula>ISBLANK(F96)</formula>
    </cfRule>
  </conditionalFormatting>
  <conditionalFormatting sqref="G92:G93">
    <cfRule type="expression" dxfId="996" priority="407">
      <formula>ISBLANK(G92)</formula>
    </cfRule>
  </conditionalFormatting>
  <conditionalFormatting sqref="G92:G93">
    <cfRule type="expression" dxfId="995" priority="406">
      <formula>$A92&lt;&gt;""</formula>
    </cfRule>
  </conditionalFormatting>
  <conditionalFormatting sqref="G92:G93">
    <cfRule type="expression" dxfId="994" priority="405">
      <formula>ISBLANK(G92)</formula>
    </cfRule>
  </conditionalFormatting>
  <conditionalFormatting sqref="G92:G93">
    <cfRule type="expression" dxfId="993" priority="404">
      <formula>ISBLANK(G92)</formula>
    </cfRule>
  </conditionalFormatting>
  <conditionalFormatting sqref="G92:G93">
    <cfRule type="expression" dxfId="992" priority="403">
      <formula>$A92&lt;&gt;""</formula>
    </cfRule>
  </conditionalFormatting>
  <conditionalFormatting sqref="G92:G93">
    <cfRule type="expression" dxfId="991" priority="402">
      <formula>ISBLANK(G92)</formula>
    </cfRule>
  </conditionalFormatting>
  <conditionalFormatting sqref="G92:G93">
    <cfRule type="expression" dxfId="990" priority="401">
      <formula>ISBLANK(G92)</formula>
    </cfRule>
  </conditionalFormatting>
  <conditionalFormatting sqref="G92:G93">
    <cfRule type="expression" dxfId="989" priority="400">
      <formula>$A92&lt;&gt;""</formula>
    </cfRule>
  </conditionalFormatting>
  <conditionalFormatting sqref="G92:G93">
    <cfRule type="expression" dxfId="988" priority="399">
      <formula>ISBLANK(G92)</formula>
    </cfRule>
  </conditionalFormatting>
  <conditionalFormatting sqref="H98:I102 E97:F102 G99:G101 A98:C102 H97 B97">
    <cfRule type="expression" dxfId="987" priority="398">
      <formula>ISBLANK(A97)</formula>
    </cfRule>
  </conditionalFormatting>
  <conditionalFormatting sqref="A99:I102 B97 H97 A98:F98 H98:I98 D97:F97">
    <cfRule type="expression" dxfId="986" priority="397">
      <formula>$A97&lt;&gt;""</formula>
    </cfRule>
  </conditionalFormatting>
  <conditionalFormatting sqref="A99:I102 B97 H97 A98:F98 H98:I98 D97:F97">
    <cfRule type="expression" dxfId="985" priority="396">
      <formula>ISBLANK(A97)</formula>
    </cfRule>
  </conditionalFormatting>
  <conditionalFormatting sqref="D97:D102">
    <cfRule type="expression" dxfId="984" priority="395">
      <formula>ISBLANK(D97)</formula>
    </cfRule>
  </conditionalFormatting>
  <conditionalFormatting sqref="F97:F101">
    <cfRule type="expression" dxfId="983" priority="393">
      <formula>ISBLANK(F97)</formula>
    </cfRule>
  </conditionalFormatting>
  <conditionalFormatting sqref="F101">
    <cfRule type="expression" dxfId="982" priority="394">
      <formula>$A102&lt;&gt;""</formula>
    </cfRule>
  </conditionalFormatting>
  <conditionalFormatting sqref="G101">
    <cfRule type="expression" dxfId="981" priority="392">
      <formula>$A102&lt;&gt;""</formula>
    </cfRule>
  </conditionalFormatting>
  <conditionalFormatting sqref="I97">
    <cfRule type="expression" dxfId="980" priority="391">
      <formula>ISBLANK(I97)</formula>
    </cfRule>
  </conditionalFormatting>
  <conditionalFormatting sqref="I97">
    <cfRule type="expression" dxfId="979" priority="390">
      <formula>$A97&lt;&gt;""</formula>
    </cfRule>
  </conditionalFormatting>
  <conditionalFormatting sqref="I97">
    <cfRule type="expression" dxfId="978" priority="389">
      <formula>ISBLANK(I97)</formula>
    </cfRule>
  </conditionalFormatting>
  <conditionalFormatting sqref="D107">
    <cfRule type="expression" dxfId="977" priority="388">
      <formula>ISBLANK(D107)</formula>
    </cfRule>
  </conditionalFormatting>
  <conditionalFormatting sqref="D103:D106">
    <cfRule type="expression" dxfId="976" priority="387">
      <formula>ISBLANK(D103)</formula>
    </cfRule>
  </conditionalFormatting>
  <conditionalFormatting sqref="D103:D106">
    <cfRule type="expression" dxfId="975" priority="386">
      <formula>$A103&lt;&gt;""</formula>
    </cfRule>
  </conditionalFormatting>
  <conditionalFormatting sqref="D103:D106">
    <cfRule type="expression" dxfId="974" priority="385">
      <formula>ISBLANK(D103)</formula>
    </cfRule>
  </conditionalFormatting>
  <conditionalFormatting sqref="A104:C107 A103:B103">
    <cfRule type="expression" dxfId="973" priority="384">
      <formula>ISBLANK(A103)</formula>
    </cfRule>
  </conditionalFormatting>
  <conditionalFormatting sqref="A104:C107 A103:B103">
    <cfRule type="expression" dxfId="972" priority="383">
      <formula>$A103&lt;&gt;""</formula>
    </cfRule>
  </conditionalFormatting>
  <conditionalFormatting sqref="A104:C107 A103:B103">
    <cfRule type="expression" dxfId="971" priority="382">
      <formula>ISBLANK(A103)</formula>
    </cfRule>
  </conditionalFormatting>
  <conditionalFormatting sqref="E103:I103 E106:I107 E104:F105 H104:I105">
    <cfRule type="expression" dxfId="970" priority="381">
      <formula>ISBLANK(E103)</formula>
    </cfRule>
  </conditionalFormatting>
  <conditionalFormatting sqref="E103:I103 E106:I107 E104:F105 H104:I105">
    <cfRule type="expression" dxfId="969" priority="380">
      <formula>$A103&lt;&gt;""</formula>
    </cfRule>
  </conditionalFormatting>
  <conditionalFormatting sqref="E103:I103 E106:I107 E104:F105 H104:I105">
    <cfRule type="expression" dxfId="968" priority="379">
      <formula>ISBLANK(E103)</formula>
    </cfRule>
  </conditionalFormatting>
  <conditionalFormatting sqref="A97">
    <cfRule type="expression" dxfId="967" priority="369">
      <formula>ISBLANK(A97)</formula>
    </cfRule>
  </conditionalFormatting>
  <conditionalFormatting sqref="A97">
    <cfRule type="expression" dxfId="966" priority="368">
      <formula>$A97&lt;&gt;""</formula>
    </cfRule>
  </conditionalFormatting>
  <conditionalFormatting sqref="A97">
    <cfRule type="expression" dxfId="965" priority="367">
      <formula>ISBLANK(A97)</formula>
    </cfRule>
  </conditionalFormatting>
  <conditionalFormatting sqref="H109:I113 E108:F113 G108:G112 A109:C113 H108 B108">
    <cfRule type="expression" dxfId="964" priority="366">
      <formula>ISBLANK(A108)</formula>
    </cfRule>
  </conditionalFormatting>
  <conditionalFormatting sqref="A109:I113 B108 D108:H108">
    <cfRule type="expression" dxfId="963" priority="365">
      <formula>$A108&lt;&gt;""</formula>
    </cfRule>
  </conditionalFormatting>
  <conditionalFormatting sqref="A109:I113 B108 D108:H108">
    <cfRule type="expression" dxfId="962" priority="364">
      <formula>ISBLANK(A108)</formula>
    </cfRule>
  </conditionalFormatting>
  <conditionalFormatting sqref="D108:D113">
    <cfRule type="expression" dxfId="961" priority="363">
      <formula>ISBLANK(D108)</formula>
    </cfRule>
  </conditionalFormatting>
  <conditionalFormatting sqref="F108:F112">
    <cfRule type="expression" dxfId="960" priority="361">
      <formula>ISBLANK(F108)</formula>
    </cfRule>
  </conditionalFormatting>
  <conditionalFormatting sqref="F112">
    <cfRule type="expression" dxfId="959" priority="362">
      <formula>$A113&lt;&gt;""</formula>
    </cfRule>
  </conditionalFormatting>
  <conditionalFormatting sqref="G112">
    <cfRule type="expression" dxfId="958" priority="360">
      <formula>$A113&lt;&gt;""</formula>
    </cfRule>
  </conditionalFormatting>
  <conditionalFormatting sqref="I108">
    <cfRule type="expression" dxfId="957" priority="359">
      <formula>ISBLANK(I108)</formula>
    </cfRule>
  </conditionalFormatting>
  <conditionalFormatting sqref="I108">
    <cfRule type="expression" dxfId="956" priority="358">
      <formula>$A108&lt;&gt;""</formula>
    </cfRule>
  </conditionalFormatting>
  <conditionalFormatting sqref="I108">
    <cfRule type="expression" dxfId="955" priority="357">
      <formula>ISBLANK(I108)</formula>
    </cfRule>
  </conditionalFormatting>
  <conditionalFormatting sqref="A108">
    <cfRule type="expression" dxfId="954" priority="356">
      <formula>ISBLANK(A108)</formula>
    </cfRule>
  </conditionalFormatting>
  <conditionalFormatting sqref="A108">
    <cfRule type="expression" dxfId="953" priority="355">
      <formula>$A108&lt;&gt;""</formula>
    </cfRule>
  </conditionalFormatting>
  <conditionalFormatting sqref="A108">
    <cfRule type="expression" dxfId="952" priority="354">
      <formula>ISBLANK(A108)</formula>
    </cfRule>
  </conditionalFormatting>
  <conditionalFormatting sqref="G97 G104">
    <cfRule type="expression" dxfId="951" priority="353">
      <formula>ISBLANK(G97)</formula>
    </cfRule>
  </conditionalFormatting>
  <conditionalFormatting sqref="G97 G104">
    <cfRule type="expression" dxfId="950" priority="352">
      <formula>$A97&lt;&gt;""</formula>
    </cfRule>
  </conditionalFormatting>
  <conditionalFormatting sqref="G97 G104">
    <cfRule type="expression" dxfId="949" priority="351">
      <formula>ISBLANK(G97)</formula>
    </cfRule>
  </conditionalFormatting>
  <conditionalFormatting sqref="G98 G105">
    <cfRule type="expression" dxfId="948" priority="350">
      <formula>ISBLANK(G98)</formula>
    </cfRule>
  </conditionalFormatting>
  <conditionalFormatting sqref="G98 G105">
    <cfRule type="expression" dxfId="947" priority="349">
      <formula>$A98&lt;&gt;""</formula>
    </cfRule>
  </conditionalFormatting>
  <conditionalFormatting sqref="G98 G105">
    <cfRule type="expression" dxfId="946" priority="348">
      <formula>ISBLANK(G98)</formula>
    </cfRule>
  </conditionalFormatting>
  <conditionalFormatting sqref="A115:C118 E114:I118 B114">
    <cfRule type="expression" dxfId="945" priority="347">
      <formula>ISBLANK(A114)</formula>
    </cfRule>
  </conditionalFormatting>
  <conditionalFormatting sqref="A115:I118 B114 D114:I114">
    <cfRule type="expression" dxfId="944" priority="346">
      <formula>$A114&lt;&gt;""</formula>
    </cfRule>
  </conditionalFormatting>
  <conditionalFormatting sqref="A115:I118 B114 D114:I114">
    <cfRule type="expression" dxfId="943" priority="345">
      <formula>ISBLANK(A114)</formula>
    </cfRule>
  </conditionalFormatting>
  <conditionalFormatting sqref="D114:D118">
    <cfRule type="expression" dxfId="942" priority="344">
      <formula>ISBLANK(D114)</formula>
    </cfRule>
  </conditionalFormatting>
  <conditionalFormatting sqref="F114:F118">
    <cfRule type="expression" dxfId="941" priority="342">
      <formula>$A114&lt;&gt;""</formula>
    </cfRule>
  </conditionalFormatting>
  <conditionalFormatting sqref="F114:F118">
    <cfRule type="expression" dxfId="940" priority="343">
      <formula>ISBLANK(F114)</formula>
    </cfRule>
  </conditionalFormatting>
  <conditionalFormatting sqref="A114">
    <cfRule type="expression" dxfId="939" priority="341">
      <formula>ISBLANK(A114)</formula>
    </cfRule>
  </conditionalFormatting>
  <conditionalFormatting sqref="A114">
    <cfRule type="expression" dxfId="938" priority="340">
      <formula>$A114&lt;&gt;""</formula>
    </cfRule>
  </conditionalFormatting>
  <conditionalFormatting sqref="A114">
    <cfRule type="expression" dxfId="937" priority="339">
      <formula>ISBLANK(A114)</formula>
    </cfRule>
  </conditionalFormatting>
  <conditionalFormatting sqref="A120:C123 E119:I123 B119">
    <cfRule type="expression" dxfId="936" priority="338">
      <formula>ISBLANK(A119)</formula>
    </cfRule>
  </conditionalFormatting>
  <conditionalFormatting sqref="A120:I123 B119 D119:I119">
    <cfRule type="expression" dxfId="935" priority="337">
      <formula>$A119&lt;&gt;""</formula>
    </cfRule>
  </conditionalFormatting>
  <conditionalFormatting sqref="A120:I123 B119 D119:I119">
    <cfRule type="expression" dxfId="934" priority="336">
      <formula>ISBLANK(A119)</formula>
    </cfRule>
  </conditionalFormatting>
  <conditionalFormatting sqref="D119:D123">
    <cfRule type="expression" dxfId="933" priority="335">
      <formula>ISBLANK(D119)</formula>
    </cfRule>
  </conditionalFormatting>
  <conditionalFormatting sqref="F119:F123">
    <cfRule type="expression" dxfId="932" priority="333">
      <formula>$A119&lt;&gt;""</formula>
    </cfRule>
  </conditionalFormatting>
  <conditionalFormatting sqref="F119:F123">
    <cfRule type="expression" dxfId="931" priority="334">
      <formula>ISBLANK(F119)</formula>
    </cfRule>
  </conditionalFormatting>
  <conditionalFormatting sqref="A119">
    <cfRule type="expression" dxfId="930" priority="332">
      <formula>ISBLANK(A119)</formula>
    </cfRule>
  </conditionalFormatting>
  <conditionalFormatting sqref="A119">
    <cfRule type="expression" dxfId="929" priority="331">
      <formula>$A119&lt;&gt;""</formula>
    </cfRule>
  </conditionalFormatting>
  <conditionalFormatting sqref="A119">
    <cfRule type="expression" dxfId="928" priority="330">
      <formula>ISBLANK(A119)</formula>
    </cfRule>
  </conditionalFormatting>
  <conditionalFormatting sqref="A125:C125 E124:I125 B124">
    <cfRule type="expression" dxfId="927" priority="329">
      <formula>ISBLANK(A124)</formula>
    </cfRule>
  </conditionalFormatting>
  <conditionalFormatting sqref="A125:I125 B124 D124:I124">
    <cfRule type="expression" dxfId="926" priority="328">
      <formula>$A124&lt;&gt;""</formula>
    </cfRule>
  </conditionalFormatting>
  <conditionalFormatting sqref="A125:I125 B124 D124:I124">
    <cfRule type="expression" dxfId="925" priority="327">
      <formula>ISBLANK(A124)</formula>
    </cfRule>
  </conditionalFormatting>
  <conditionalFormatting sqref="D124:D125">
    <cfRule type="expression" dxfId="924" priority="326">
      <formula>ISBLANK(D124)</formula>
    </cfRule>
  </conditionalFormatting>
  <conditionalFormatting sqref="F124:F125">
    <cfRule type="expression" dxfId="923" priority="324">
      <formula>$A124&lt;&gt;""</formula>
    </cfRule>
  </conditionalFormatting>
  <conditionalFormatting sqref="F124:F125">
    <cfRule type="expression" dxfId="922" priority="325">
      <formula>ISBLANK(F124)</formula>
    </cfRule>
  </conditionalFormatting>
  <conditionalFormatting sqref="A124">
    <cfRule type="expression" dxfId="921" priority="323">
      <formula>ISBLANK(A124)</formula>
    </cfRule>
  </conditionalFormatting>
  <conditionalFormatting sqref="A124">
    <cfRule type="expression" dxfId="920" priority="322">
      <formula>$A124&lt;&gt;""</formula>
    </cfRule>
  </conditionalFormatting>
  <conditionalFormatting sqref="A124">
    <cfRule type="expression" dxfId="919" priority="321">
      <formula>ISBLANK(A124)</formula>
    </cfRule>
  </conditionalFormatting>
  <conditionalFormatting sqref="D129">
    <cfRule type="expression" dxfId="918" priority="320">
      <formula>ISBLANK(D129)</formula>
    </cfRule>
  </conditionalFormatting>
  <conditionalFormatting sqref="A127:A128 E126:I128">
    <cfRule type="expression" dxfId="917" priority="304">
      <formula>ISBLANK(A126)</formula>
    </cfRule>
  </conditionalFormatting>
  <conditionalFormatting sqref="A127:I128 B126 D126:I126">
    <cfRule type="expression" dxfId="916" priority="303">
      <formula>$A126&lt;&gt;""</formula>
    </cfRule>
  </conditionalFormatting>
  <conditionalFormatting sqref="A127:I128 B126 D126:I126">
    <cfRule type="expression" dxfId="915" priority="302">
      <formula>ISBLANK(A126)</formula>
    </cfRule>
  </conditionalFormatting>
  <conditionalFormatting sqref="D126:D128">
    <cfRule type="expression" dxfId="914" priority="301">
      <formula>ISBLANK(D126)</formula>
    </cfRule>
  </conditionalFormatting>
  <conditionalFormatting sqref="F126:F128">
    <cfRule type="expression" dxfId="913" priority="300">
      <formula>ISBLANK(F126)</formula>
    </cfRule>
  </conditionalFormatting>
  <conditionalFormatting sqref="A126">
    <cfRule type="expression" dxfId="912" priority="299">
      <formula>ISBLANK(A126)</formula>
    </cfRule>
  </conditionalFormatting>
  <conditionalFormatting sqref="A126">
    <cfRule type="expression" dxfId="911" priority="298">
      <formula>$A126&lt;&gt;""</formula>
    </cfRule>
  </conditionalFormatting>
  <conditionalFormatting sqref="A126">
    <cfRule type="expression" dxfId="910" priority="297">
      <formula>ISBLANK(A126)</formula>
    </cfRule>
  </conditionalFormatting>
  <conditionalFormatting sqref="D133">
    <cfRule type="expression" dxfId="909" priority="296">
      <formula>ISBLANK(D133)</formula>
    </cfRule>
  </conditionalFormatting>
  <conditionalFormatting sqref="A131:A132 E130:I132">
    <cfRule type="expression" dxfId="908" priority="286">
      <formula>ISBLANK(A130)</formula>
    </cfRule>
  </conditionalFormatting>
  <conditionalFormatting sqref="A131:I132 B130 D130:I130">
    <cfRule type="expression" dxfId="907" priority="285">
      <formula>$A130&lt;&gt;""</formula>
    </cfRule>
  </conditionalFormatting>
  <conditionalFormatting sqref="A131:I132 B130 D130:I130">
    <cfRule type="expression" dxfId="906" priority="284">
      <formula>ISBLANK(A130)</formula>
    </cfRule>
  </conditionalFormatting>
  <conditionalFormatting sqref="D130:D132">
    <cfRule type="expression" dxfId="905" priority="283">
      <formula>ISBLANK(D130)</formula>
    </cfRule>
  </conditionalFormatting>
  <conditionalFormatting sqref="F130:F132">
    <cfRule type="expression" dxfId="904" priority="282">
      <formula>ISBLANK(F130)</formula>
    </cfRule>
  </conditionalFormatting>
  <conditionalFormatting sqref="A130">
    <cfRule type="expression" dxfId="903" priority="281">
      <formula>ISBLANK(A130)</formula>
    </cfRule>
  </conditionalFormatting>
  <conditionalFormatting sqref="A130">
    <cfRule type="expression" dxfId="902" priority="280">
      <formula>$A130&lt;&gt;""</formula>
    </cfRule>
  </conditionalFormatting>
  <conditionalFormatting sqref="A130">
    <cfRule type="expression" dxfId="901" priority="279">
      <formula>ISBLANK(A130)</formula>
    </cfRule>
  </conditionalFormatting>
  <conditionalFormatting sqref="A135:C138 E135:I138 B134:C134 E134:H134">
    <cfRule type="expression" dxfId="900" priority="278">
      <formula>ISBLANK(A134)</formula>
    </cfRule>
  </conditionalFormatting>
  <conditionalFormatting sqref="A135:I138 B134:H134">
    <cfRule type="expression" dxfId="899" priority="277">
      <formula>$A134&lt;&gt;""</formula>
    </cfRule>
  </conditionalFormatting>
  <conditionalFormatting sqref="A135:I138 B134:H134">
    <cfRule type="expression" dxfId="898" priority="276">
      <formula>ISBLANK(A134)</formula>
    </cfRule>
  </conditionalFormatting>
  <conditionalFormatting sqref="D134:D138">
    <cfRule type="expression" dxfId="897" priority="275">
      <formula>ISBLANK(D134)</formula>
    </cfRule>
  </conditionalFormatting>
  <conditionalFormatting sqref="F134:F138">
    <cfRule type="expression" dxfId="896" priority="273">
      <formula>$A134&lt;&gt;""</formula>
    </cfRule>
  </conditionalFormatting>
  <conditionalFormatting sqref="F134:F138">
    <cfRule type="expression" dxfId="895" priority="274">
      <formula>ISBLANK(F134)</formula>
    </cfRule>
  </conditionalFormatting>
  <conditionalFormatting sqref="A134">
    <cfRule type="expression" dxfId="894" priority="272">
      <formula>ISBLANK(A134)</formula>
    </cfRule>
  </conditionalFormatting>
  <conditionalFormatting sqref="A134">
    <cfRule type="expression" dxfId="893" priority="271">
      <formula>$A134&lt;&gt;""</formula>
    </cfRule>
  </conditionalFormatting>
  <conditionalFormatting sqref="A134">
    <cfRule type="expression" dxfId="892" priority="270">
      <formula>ISBLANK(A134)</formula>
    </cfRule>
  </conditionalFormatting>
  <conditionalFormatting sqref="I134">
    <cfRule type="expression" dxfId="891" priority="269">
      <formula>ISBLANK(I134)</formula>
    </cfRule>
  </conditionalFormatting>
  <conditionalFormatting sqref="I134">
    <cfRule type="expression" dxfId="890" priority="268">
      <formula>$A134&lt;&gt;""</formula>
    </cfRule>
  </conditionalFormatting>
  <conditionalFormatting sqref="I134">
    <cfRule type="expression" dxfId="889" priority="267">
      <formula>ISBLANK(I134)</formula>
    </cfRule>
  </conditionalFormatting>
  <conditionalFormatting sqref="F139:F144">
    <cfRule type="expression" dxfId="888" priority="266">
      <formula>ISBLANK(F139)</formula>
    </cfRule>
  </conditionalFormatting>
  <conditionalFormatting sqref="A140:G144 B139 A150:F151 B149:G149 A155:G155 B154:G154 B147:G147 A145:E146 D139:G139 A153:F153 B152:F152">
    <cfRule type="expression" dxfId="887" priority="265">
      <formula>$A139&lt;&gt;""</formula>
    </cfRule>
  </conditionalFormatting>
  <conditionalFormatting sqref="A140:G144 B139 A150:F151 B149:G149 A155:G155 B154:G154 A148:G148 B147:G147 A145:E146 D139:G139 A153:F153 B152:F152">
    <cfRule type="expression" dxfId="886" priority="264">
      <formula>ISBLANK(A139)</formula>
    </cfRule>
  </conditionalFormatting>
  <conditionalFormatting sqref="B139 E139">
    <cfRule type="expression" dxfId="885" priority="263">
      <formula>$A139&lt;&gt;""</formula>
    </cfRule>
  </conditionalFormatting>
  <conditionalFormatting sqref="D149:D155">
    <cfRule type="expression" dxfId="884" priority="259">
      <formula>ISBLANK(D149)</formula>
    </cfRule>
  </conditionalFormatting>
  <conditionalFormatting sqref="D139:D146">
    <cfRule type="expression" dxfId="883" priority="260">
      <formula>ISBLANK(D139)</formula>
    </cfRule>
  </conditionalFormatting>
  <conditionalFormatting sqref="F149:F155">
    <cfRule type="expression" dxfId="882" priority="257">
      <formula>ISBLANK(F149)</formula>
    </cfRule>
  </conditionalFormatting>
  <conditionalFormatting sqref="F139:F144">
    <cfRule type="expression" dxfId="881" priority="256">
      <formula>ISBLANK(F139)</formula>
    </cfRule>
  </conditionalFormatting>
  <conditionalFormatting sqref="F143:F144">
    <cfRule type="expression" dxfId="880" priority="258">
      <formula>$A145&lt;&gt;""</formula>
    </cfRule>
  </conditionalFormatting>
  <conditionalFormatting sqref="G139:G144">
    <cfRule type="expression" dxfId="879" priority="252">
      <formula>ISBLANK(G139)</formula>
    </cfRule>
  </conditionalFormatting>
  <conditionalFormatting sqref="G143:G144">
    <cfRule type="expression" dxfId="878" priority="253">
      <formula>$A145&lt;&gt;""</formula>
    </cfRule>
  </conditionalFormatting>
  <conditionalFormatting sqref="G139:G142">
    <cfRule type="expression" dxfId="877" priority="251">
      <formula>$A139&lt;&gt;""</formula>
    </cfRule>
  </conditionalFormatting>
  <conditionalFormatting sqref="G149 G154:G155">
    <cfRule type="expression" dxfId="876" priority="249">
      <formula>ISBLANK(G149)</formula>
    </cfRule>
    <cfRule type="expression" dxfId="875" priority="250">
      <formula>$A149&lt;&gt;""</formula>
    </cfRule>
  </conditionalFormatting>
  <conditionalFormatting sqref="A139">
    <cfRule type="expression" dxfId="874" priority="245">
      <formula>ISBLANK(A139)</formula>
    </cfRule>
  </conditionalFormatting>
  <conditionalFormatting sqref="A139">
    <cfRule type="expression" dxfId="873" priority="244">
      <formula>$A139&lt;&gt;""</formula>
    </cfRule>
  </conditionalFormatting>
  <conditionalFormatting sqref="A139">
    <cfRule type="expression" dxfId="872" priority="243">
      <formula>ISBLANK(A139)</formula>
    </cfRule>
  </conditionalFormatting>
  <conditionalFormatting sqref="A149 A154">
    <cfRule type="expression" dxfId="871" priority="242">
      <formula>ISBLANK(A149)</formula>
    </cfRule>
  </conditionalFormatting>
  <conditionalFormatting sqref="A149 A154">
    <cfRule type="expression" dxfId="870" priority="241">
      <formula>$A149&lt;&gt;""</formula>
    </cfRule>
  </conditionalFormatting>
  <conditionalFormatting sqref="A149 A154">
    <cfRule type="expression" dxfId="869" priority="240">
      <formula>ISBLANK(A149)</formula>
    </cfRule>
  </conditionalFormatting>
  <conditionalFormatting sqref="G22">
    <cfRule type="expression" dxfId="868" priority="239">
      <formula>ISBLANK(G22)</formula>
    </cfRule>
  </conditionalFormatting>
  <conditionalFormatting sqref="G22">
    <cfRule type="expression" dxfId="867" priority="238">
      <formula>$A22&lt;&gt;""</formula>
    </cfRule>
  </conditionalFormatting>
  <conditionalFormatting sqref="G22">
    <cfRule type="expression" dxfId="866" priority="237">
      <formula>ISBLANK(G22)</formula>
    </cfRule>
  </conditionalFormatting>
  <conditionalFormatting sqref="G27">
    <cfRule type="expression" dxfId="865" priority="236">
      <formula>ISBLANK(G27)</formula>
    </cfRule>
  </conditionalFormatting>
  <conditionalFormatting sqref="G27">
    <cfRule type="expression" dxfId="864" priority="235">
      <formula>$A27&lt;&gt;""</formula>
    </cfRule>
  </conditionalFormatting>
  <conditionalFormatting sqref="G27">
    <cfRule type="expression" dxfId="863" priority="234">
      <formula>ISBLANK(G27)</formula>
    </cfRule>
  </conditionalFormatting>
  <conditionalFormatting sqref="G31:G32">
    <cfRule type="expression" dxfId="862" priority="233">
      <formula>ISBLANK(G31)</formula>
    </cfRule>
  </conditionalFormatting>
  <conditionalFormatting sqref="G31:G32">
    <cfRule type="expression" dxfId="861" priority="232">
      <formula>$A31&lt;&gt;""</formula>
    </cfRule>
  </conditionalFormatting>
  <conditionalFormatting sqref="G31:G32">
    <cfRule type="expression" dxfId="860" priority="231">
      <formula>ISBLANK(G31)</formula>
    </cfRule>
  </conditionalFormatting>
  <conditionalFormatting sqref="G32">
    <cfRule type="expression" dxfId="859" priority="230">
      <formula>ISBLANK(G32)</formula>
    </cfRule>
  </conditionalFormatting>
  <conditionalFormatting sqref="G32">
    <cfRule type="expression" dxfId="858" priority="229">
      <formula>$A32&lt;&gt;""</formula>
    </cfRule>
  </conditionalFormatting>
  <conditionalFormatting sqref="G32">
    <cfRule type="expression" dxfId="857" priority="228">
      <formula>ISBLANK(G32)</formula>
    </cfRule>
  </conditionalFormatting>
  <conditionalFormatting sqref="G28">
    <cfRule type="expression" dxfId="856" priority="227">
      <formula>ISBLANK(G28)</formula>
    </cfRule>
  </conditionalFormatting>
  <conditionalFormatting sqref="G28">
    <cfRule type="expression" dxfId="855" priority="226">
      <formula>$A28&lt;&gt;""</formula>
    </cfRule>
  </conditionalFormatting>
  <conditionalFormatting sqref="G28">
    <cfRule type="expression" dxfId="854" priority="225">
      <formula>ISBLANK(G28)</formula>
    </cfRule>
  </conditionalFormatting>
  <conditionalFormatting sqref="G33">
    <cfRule type="expression" dxfId="853" priority="224">
      <formula>ISBLANK(G33)</formula>
    </cfRule>
  </conditionalFormatting>
  <conditionalFormatting sqref="G33">
    <cfRule type="expression" dxfId="852" priority="223">
      <formula>$A33&lt;&gt;""</formula>
    </cfRule>
  </conditionalFormatting>
  <conditionalFormatting sqref="G33">
    <cfRule type="expression" dxfId="851" priority="222">
      <formula>ISBLANK(G33)</formula>
    </cfRule>
  </conditionalFormatting>
  <conditionalFormatting sqref="G47">
    <cfRule type="expression" dxfId="850" priority="221">
      <formula>ISBLANK(G47)</formula>
    </cfRule>
  </conditionalFormatting>
  <conditionalFormatting sqref="G47">
    <cfRule type="expression" dxfId="849" priority="220">
      <formula>$A47&lt;&gt;""</formula>
    </cfRule>
  </conditionalFormatting>
  <conditionalFormatting sqref="G47">
    <cfRule type="expression" dxfId="848" priority="219">
      <formula>ISBLANK(G47)</formula>
    </cfRule>
  </conditionalFormatting>
  <conditionalFormatting sqref="G47">
    <cfRule type="expression" dxfId="847" priority="218">
      <formula>ISBLANK(G47)</formula>
    </cfRule>
  </conditionalFormatting>
  <conditionalFormatting sqref="G47">
    <cfRule type="expression" dxfId="846" priority="217">
      <formula>$A47&lt;&gt;""</formula>
    </cfRule>
  </conditionalFormatting>
  <conditionalFormatting sqref="G47">
    <cfRule type="expression" dxfId="845" priority="216">
      <formula>ISBLANK(G47)</formula>
    </cfRule>
  </conditionalFormatting>
  <conditionalFormatting sqref="G60">
    <cfRule type="expression" dxfId="844" priority="215">
      <formula>ISBLANK(G60)</formula>
    </cfRule>
  </conditionalFormatting>
  <conditionalFormatting sqref="G60">
    <cfRule type="expression" dxfId="843" priority="214">
      <formula>$A60&lt;&gt;""</formula>
    </cfRule>
  </conditionalFormatting>
  <conditionalFormatting sqref="G60">
    <cfRule type="expression" dxfId="842" priority="213">
      <formula>ISBLANK(G60)</formula>
    </cfRule>
  </conditionalFormatting>
  <conditionalFormatting sqref="G60">
    <cfRule type="expression" dxfId="841" priority="212">
      <formula>$A60&lt;&gt;""</formula>
    </cfRule>
  </conditionalFormatting>
  <conditionalFormatting sqref="G60">
    <cfRule type="expression" dxfId="840" priority="211">
      <formula>ISBLANK(G60)</formula>
    </cfRule>
  </conditionalFormatting>
  <conditionalFormatting sqref="G60">
    <cfRule type="expression" dxfId="839" priority="210">
      <formula>ISBLANK(G60)</formula>
    </cfRule>
  </conditionalFormatting>
  <conditionalFormatting sqref="G60">
    <cfRule type="expression" dxfId="838" priority="209">
      <formula>$A60&lt;&gt;""</formula>
    </cfRule>
  </conditionalFormatting>
  <conditionalFormatting sqref="G60">
    <cfRule type="expression" dxfId="837" priority="208">
      <formula>ISBLANK(G60)</formula>
    </cfRule>
  </conditionalFormatting>
  <conditionalFormatting sqref="G60">
    <cfRule type="expression" dxfId="836" priority="207">
      <formula>ISBLANK(G60)</formula>
    </cfRule>
  </conditionalFormatting>
  <conditionalFormatting sqref="G60">
    <cfRule type="expression" dxfId="835" priority="206">
      <formula>$A60&lt;&gt;""</formula>
    </cfRule>
  </conditionalFormatting>
  <conditionalFormatting sqref="G60">
    <cfRule type="expression" dxfId="834" priority="205">
      <formula>ISBLANK(G60)</formula>
    </cfRule>
  </conditionalFormatting>
  <conditionalFormatting sqref="G73">
    <cfRule type="expression" dxfId="833" priority="204">
      <formula>ISBLANK(G73)</formula>
    </cfRule>
  </conditionalFormatting>
  <conditionalFormatting sqref="G73">
    <cfRule type="expression" dxfId="832" priority="203">
      <formula>$A73&lt;&gt;""</formula>
    </cfRule>
  </conditionalFormatting>
  <conditionalFormatting sqref="G73">
    <cfRule type="expression" dxfId="831" priority="202">
      <formula>ISBLANK(G73)</formula>
    </cfRule>
  </conditionalFormatting>
  <conditionalFormatting sqref="G73">
    <cfRule type="expression" dxfId="830" priority="201">
      <formula>ISBLANK(G73)</formula>
    </cfRule>
  </conditionalFormatting>
  <conditionalFormatting sqref="G73">
    <cfRule type="expression" dxfId="829" priority="200">
      <formula>$A73&lt;&gt;""</formula>
    </cfRule>
  </conditionalFormatting>
  <conditionalFormatting sqref="G73">
    <cfRule type="expression" dxfId="828" priority="199">
      <formula>ISBLANK(G73)</formula>
    </cfRule>
  </conditionalFormatting>
  <conditionalFormatting sqref="G73">
    <cfRule type="expression" dxfId="827" priority="198">
      <formula>ISBLANK(G73)</formula>
    </cfRule>
  </conditionalFormatting>
  <conditionalFormatting sqref="G73">
    <cfRule type="expression" dxfId="826" priority="197">
      <formula>$A73&lt;&gt;""</formula>
    </cfRule>
  </conditionalFormatting>
  <conditionalFormatting sqref="G73">
    <cfRule type="expression" dxfId="825" priority="196">
      <formula>ISBLANK(G73)</formula>
    </cfRule>
  </conditionalFormatting>
  <conditionalFormatting sqref="G78">
    <cfRule type="expression" dxfId="824" priority="195">
      <formula>ISBLANK(G78)</formula>
    </cfRule>
  </conditionalFormatting>
  <conditionalFormatting sqref="G78">
    <cfRule type="expression" dxfId="823" priority="194">
      <formula>$A78&lt;&gt;""</formula>
    </cfRule>
  </conditionalFormatting>
  <conditionalFormatting sqref="G78">
    <cfRule type="expression" dxfId="822" priority="193">
      <formula>ISBLANK(G78)</formula>
    </cfRule>
  </conditionalFormatting>
  <conditionalFormatting sqref="G78">
    <cfRule type="expression" dxfId="821" priority="192">
      <formula>ISBLANK(G78)</formula>
    </cfRule>
  </conditionalFormatting>
  <conditionalFormatting sqref="G78">
    <cfRule type="expression" dxfId="820" priority="191">
      <formula>$A78&lt;&gt;""</formula>
    </cfRule>
  </conditionalFormatting>
  <conditionalFormatting sqref="G78">
    <cfRule type="expression" dxfId="819" priority="190">
      <formula>ISBLANK(G78)</formula>
    </cfRule>
  </conditionalFormatting>
  <conditionalFormatting sqref="G78">
    <cfRule type="expression" dxfId="818" priority="189">
      <formula>ISBLANK(G78)</formula>
    </cfRule>
  </conditionalFormatting>
  <conditionalFormatting sqref="G78">
    <cfRule type="expression" dxfId="817" priority="188">
      <formula>$A78&lt;&gt;""</formula>
    </cfRule>
  </conditionalFormatting>
  <conditionalFormatting sqref="G78">
    <cfRule type="expression" dxfId="816" priority="187">
      <formula>ISBLANK(G78)</formula>
    </cfRule>
  </conditionalFormatting>
  <conditionalFormatting sqref="G78">
    <cfRule type="expression" dxfId="815" priority="186">
      <formula>ISBLANK(G78)</formula>
    </cfRule>
  </conditionalFormatting>
  <conditionalFormatting sqref="G78">
    <cfRule type="expression" dxfId="814" priority="185">
      <formula>$A78&lt;&gt;""</formula>
    </cfRule>
  </conditionalFormatting>
  <conditionalFormatting sqref="G78">
    <cfRule type="expression" dxfId="813" priority="184">
      <formula>ISBLANK(G78)</formula>
    </cfRule>
  </conditionalFormatting>
  <conditionalFormatting sqref="G78">
    <cfRule type="expression" dxfId="812" priority="183">
      <formula>ISBLANK(G78)</formula>
    </cfRule>
  </conditionalFormatting>
  <conditionalFormatting sqref="G78">
    <cfRule type="expression" dxfId="811" priority="182">
      <formula>$A78&lt;&gt;""</formula>
    </cfRule>
  </conditionalFormatting>
  <conditionalFormatting sqref="G78">
    <cfRule type="expression" dxfId="810" priority="181">
      <formula>ISBLANK(G78)</formula>
    </cfRule>
  </conditionalFormatting>
  <conditionalFormatting sqref="G78">
    <cfRule type="expression" dxfId="809" priority="180">
      <formula>ISBLANK(G78)</formula>
    </cfRule>
  </conditionalFormatting>
  <conditionalFormatting sqref="G78">
    <cfRule type="expression" dxfId="808" priority="179">
      <formula>$A78&lt;&gt;""</formula>
    </cfRule>
  </conditionalFormatting>
  <conditionalFormatting sqref="G78">
    <cfRule type="expression" dxfId="807" priority="178">
      <formula>ISBLANK(G78)</formula>
    </cfRule>
  </conditionalFormatting>
  <conditionalFormatting sqref="G84">
    <cfRule type="expression" dxfId="806" priority="177">
      <formula>ISBLANK(G84)</formula>
    </cfRule>
  </conditionalFormatting>
  <conditionalFormatting sqref="G84">
    <cfRule type="expression" dxfId="805" priority="176">
      <formula>$A84&lt;&gt;""</formula>
    </cfRule>
  </conditionalFormatting>
  <conditionalFormatting sqref="G84">
    <cfRule type="expression" dxfId="804" priority="175">
      <formula>ISBLANK(G84)</formula>
    </cfRule>
  </conditionalFormatting>
  <conditionalFormatting sqref="G84">
    <cfRule type="expression" dxfId="803" priority="174">
      <formula>ISBLANK(G84)</formula>
    </cfRule>
  </conditionalFormatting>
  <conditionalFormatting sqref="G84">
    <cfRule type="expression" dxfId="802" priority="173">
      <formula>$A84&lt;&gt;""</formula>
    </cfRule>
  </conditionalFormatting>
  <conditionalFormatting sqref="G84">
    <cfRule type="expression" dxfId="801" priority="172">
      <formula>ISBLANK(G84)</formula>
    </cfRule>
  </conditionalFormatting>
  <conditionalFormatting sqref="G84">
    <cfRule type="expression" dxfId="800" priority="171">
      <formula>ISBLANK(G84)</formula>
    </cfRule>
  </conditionalFormatting>
  <conditionalFormatting sqref="G84">
    <cfRule type="expression" dxfId="799" priority="170">
      <formula>$A84&lt;&gt;""</formula>
    </cfRule>
  </conditionalFormatting>
  <conditionalFormatting sqref="G84">
    <cfRule type="expression" dxfId="798" priority="169">
      <formula>ISBLANK(G84)</formula>
    </cfRule>
  </conditionalFormatting>
  <conditionalFormatting sqref="G84">
    <cfRule type="expression" dxfId="797" priority="168">
      <formula>ISBLANK(G84)</formula>
    </cfRule>
  </conditionalFormatting>
  <conditionalFormatting sqref="G84">
    <cfRule type="expression" dxfId="796" priority="167">
      <formula>$A84&lt;&gt;""</formula>
    </cfRule>
  </conditionalFormatting>
  <conditionalFormatting sqref="G84">
    <cfRule type="expression" dxfId="795" priority="166">
      <formula>ISBLANK(G84)</formula>
    </cfRule>
  </conditionalFormatting>
  <conditionalFormatting sqref="G84">
    <cfRule type="expression" dxfId="794" priority="165">
      <formula>ISBLANK(G84)</formula>
    </cfRule>
  </conditionalFormatting>
  <conditionalFormatting sqref="G84">
    <cfRule type="expression" dxfId="793" priority="164">
      <formula>$A84&lt;&gt;""</formula>
    </cfRule>
  </conditionalFormatting>
  <conditionalFormatting sqref="G84">
    <cfRule type="expression" dxfId="792" priority="163">
      <formula>ISBLANK(G84)</formula>
    </cfRule>
  </conditionalFormatting>
  <conditionalFormatting sqref="G84">
    <cfRule type="expression" dxfId="791" priority="162">
      <formula>ISBLANK(G84)</formula>
    </cfRule>
  </conditionalFormatting>
  <conditionalFormatting sqref="G84">
    <cfRule type="expression" dxfId="790" priority="161">
      <formula>$A84&lt;&gt;""</formula>
    </cfRule>
  </conditionalFormatting>
  <conditionalFormatting sqref="G84">
    <cfRule type="expression" dxfId="789" priority="160">
      <formula>ISBLANK(G84)</formula>
    </cfRule>
  </conditionalFormatting>
  <conditionalFormatting sqref="G84">
    <cfRule type="expression" dxfId="788" priority="159">
      <formula>ISBLANK(G84)</formula>
    </cfRule>
  </conditionalFormatting>
  <conditionalFormatting sqref="G84">
    <cfRule type="expression" dxfId="787" priority="158">
      <formula>$A84&lt;&gt;""</formula>
    </cfRule>
  </conditionalFormatting>
  <conditionalFormatting sqref="G84">
    <cfRule type="expression" dxfId="786" priority="157">
      <formula>ISBLANK(G84)</formula>
    </cfRule>
  </conditionalFormatting>
  <conditionalFormatting sqref="G84">
    <cfRule type="expression" dxfId="785" priority="156">
      <formula>ISBLANK(G84)</formula>
    </cfRule>
  </conditionalFormatting>
  <conditionalFormatting sqref="G84">
    <cfRule type="expression" dxfId="784" priority="155">
      <formula>$A84&lt;&gt;""</formula>
    </cfRule>
  </conditionalFormatting>
  <conditionalFormatting sqref="G84">
    <cfRule type="expression" dxfId="783" priority="154">
      <formula>ISBLANK(G84)</formula>
    </cfRule>
  </conditionalFormatting>
  <conditionalFormatting sqref="G84">
    <cfRule type="expression" dxfId="782" priority="153">
      <formula>ISBLANK(G84)</formula>
    </cfRule>
  </conditionalFormatting>
  <conditionalFormatting sqref="G84">
    <cfRule type="expression" dxfId="781" priority="152">
      <formula>$A84&lt;&gt;""</formula>
    </cfRule>
  </conditionalFormatting>
  <conditionalFormatting sqref="G84">
    <cfRule type="expression" dxfId="780" priority="151">
      <formula>ISBLANK(G84)</formula>
    </cfRule>
  </conditionalFormatting>
  <conditionalFormatting sqref="G88">
    <cfRule type="expression" dxfId="779" priority="150">
      <formula>ISBLANK(G88)</formula>
    </cfRule>
  </conditionalFormatting>
  <conditionalFormatting sqref="G88">
    <cfRule type="expression" dxfId="778" priority="149">
      <formula>$A88&lt;&gt;""</formula>
    </cfRule>
  </conditionalFormatting>
  <conditionalFormatting sqref="G88">
    <cfRule type="expression" dxfId="777" priority="148">
      <formula>ISBLANK(G88)</formula>
    </cfRule>
  </conditionalFormatting>
  <conditionalFormatting sqref="G88">
    <cfRule type="expression" dxfId="776" priority="147">
      <formula>ISBLANK(G88)</formula>
    </cfRule>
  </conditionalFormatting>
  <conditionalFormatting sqref="G88">
    <cfRule type="expression" dxfId="775" priority="146">
      <formula>$A88&lt;&gt;""</formula>
    </cfRule>
  </conditionalFormatting>
  <conditionalFormatting sqref="G88">
    <cfRule type="expression" dxfId="774" priority="145">
      <formula>ISBLANK(G88)</formula>
    </cfRule>
  </conditionalFormatting>
  <conditionalFormatting sqref="G88">
    <cfRule type="expression" dxfId="773" priority="144">
      <formula>ISBLANK(G88)</formula>
    </cfRule>
  </conditionalFormatting>
  <conditionalFormatting sqref="G88">
    <cfRule type="expression" dxfId="772" priority="143">
      <formula>$A88&lt;&gt;""</formula>
    </cfRule>
  </conditionalFormatting>
  <conditionalFormatting sqref="G88">
    <cfRule type="expression" dxfId="771" priority="142">
      <formula>ISBLANK(G88)</formula>
    </cfRule>
  </conditionalFormatting>
  <conditionalFormatting sqref="G88">
    <cfRule type="expression" dxfId="770" priority="141">
      <formula>ISBLANK(G88)</formula>
    </cfRule>
  </conditionalFormatting>
  <conditionalFormatting sqref="G88">
    <cfRule type="expression" dxfId="769" priority="140">
      <formula>$A88&lt;&gt;""</formula>
    </cfRule>
  </conditionalFormatting>
  <conditionalFormatting sqref="G88">
    <cfRule type="expression" dxfId="768" priority="139">
      <formula>ISBLANK(G88)</formula>
    </cfRule>
  </conditionalFormatting>
  <conditionalFormatting sqref="G88">
    <cfRule type="expression" dxfId="767" priority="138">
      <formula>ISBLANK(G88)</formula>
    </cfRule>
  </conditionalFormatting>
  <conditionalFormatting sqref="G88">
    <cfRule type="expression" dxfId="766" priority="137">
      <formula>$A88&lt;&gt;""</formula>
    </cfRule>
  </conditionalFormatting>
  <conditionalFormatting sqref="G88">
    <cfRule type="expression" dxfId="765" priority="136">
      <formula>ISBLANK(G88)</formula>
    </cfRule>
  </conditionalFormatting>
  <conditionalFormatting sqref="G88">
    <cfRule type="expression" dxfId="764" priority="135">
      <formula>ISBLANK(G88)</formula>
    </cfRule>
  </conditionalFormatting>
  <conditionalFormatting sqref="G88">
    <cfRule type="expression" dxfId="763" priority="134">
      <formula>$A88&lt;&gt;""</formula>
    </cfRule>
  </conditionalFormatting>
  <conditionalFormatting sqref="G88">
    <cfRule type="expression" dxfId="762" priority="133">
      <formula>ISBLANK(G88)</formula>
    </cfRule>
  </conditionalFormatting>
  <conditionalFormatting sqref="G88">
    <cfRule type="expression" dxfId="761" priority="132">
      <formula>ISBLANK(G88)</formula>
    </cfRule>
  </conditionalFormatting>
  <conditionalFormatting sqref="G88">
    <cfRule type="expression" dxfId="760" priority="131">
      <formula>$A88&lt;&gt;""</formula>
    </cfRule>
  </conditionalFormatting>
  <conditionalFormatting sqref="G88">
    <cfRule type="expression" dxfId="759" priority="130">
      <formula>ISBLANK(G88)</formula>
    </cfRule>
  </conditionalFormatting>
  <conditionalFormatting sqref="G88">
    <cfRule type="expression" dxfId="758" priority="129">
      <formula>ISBLANK(G88)</formula>
    </cfRule>
  </conditionalFormatting>
  <conditionalFormatting sqref="G88">
    <cfRule type="expression" dxfId="757" priority="128">
      <formula>$A88&lt;&gt;""</formula>
    </cfRule>
  </conditionalFormatting>
  <conditionalFormatting sqref="G88">
    <cfRule type="expression" dxfId="756" priority="127">
      <formula>ISBLANK(G88)</formula>
    </cfRule>
  </conditionalFormatting>
  <conditionalFormatting sqref="G88">
    <cfRule type="expression" dxfId="755" priority="126">
      <formula>ISBLANK(G88)</formula>
    </cfRule>
  </conditionalFormatting>
  <conditionalFormatting sqref="G88">
    <cfRule type="expression" dxfId="754" priority="125">
      <formula>$A88&lt;&gt;""</formula>
    </cfRule>
  </conditionalFormatting>
  <conditionalFormatting sqref="G88">
    <cfRule type="expression" dxfId="753" priority="124">
      <formula>ISBLANK(G88)</formula>
    </cfRule>
  </conditionalFormatting>
  <conditionalFormatting sqref="G88">
    <cfRule type="expression" dxfId="752" priority="123">
      <formula>ISBLANK(G88)</formula>
    </cfRule>
  </conditionalFormatting>
  <conditionalFormatting sqref="G88">
    <cfRule type="expression" dxfId="751" priority="122">
      <formula>$A88&lt;&gt;""</formula>
    </cfRule>
  </conditionalFormatting>
  <conditionalFormatting sqref="G88">
    <cfRule type="expression" dxfId="750" priority="121">
      <formula>ISBLANK(G88)</formula>
    </cfRule>
  </conditionalFormatting>
  <conditionalFormatting sqref="G88">
    <cfRule type="expression" dxfId="749" priority="120">
      <formula>ISBLANK(G88)</formula>
    </cfRule>
  </conditionalFormatting>
  <conditionalFormatting sqref="G88">
    <cfRule type="expression" dxfId="748" priority="119">
      <formula>$A88&lt;&gt;""</formula>
    </cfRule>
  </conditionalFormatting>
  <conditionalFormatting sqref="G88">
    <cfRule type="expression" dxfId="747" priority="118">
      <formula>ISBLANK(G88)</formula>
    </cfRule>
  </conditionalFormatting>
  <conditionalFormatting sqref="G88">
    <cfRule type="expression" dxfId="746" priority="117">
      <formula>ISBLANK(G88)</formula>
    </cfRule>
  </conditionalFormatting>
  <conditionalFormatting sqref="G88">
    <cfRule type="expression" dxfId="745" priority="116">
      <formula>$A88&lt;&gt;""</formula>
    </cfRule>
  </conditionalFormatting>
  <conditionalFormatting sqref="G88">
    <cfRule type="expression" dxfId="744" priority="115">
      <formula>ISBLANK(G88)</formula>
    </cfRule>
  </conditionalFormatting>
  <conditionalFormatting sqref="G93">
    <cfRule type="expression" dxfId="743" priority="114">
      <formula>ISBLANK(G93)</formula>
    </cfRule>
  </conditionalFormatting>
  <conditionalFormatting sqref="G93">
    <cfRule type="expression" dxfId="742" priority="113">
      <formula>$A93&lt;&gt;""</formula>
    </cfRule>
  </conditionalFormatting>
  <conditionalFormatting sqref="G93">
    <cfRule type="expression" dxfId="741" priority="112">
      <formula>ISBLANK(G93)</formula>
    </cfRule>
  </conditionalFormatting>
  <conditionalFormatting sqref="G93">
    <cfRule type="expression" dxfId="740" priority="111">
      <formula>ISBLANK(G93)</formula>
    </cfRule>
  </conditionalFormatting>
  <conditionalFormatting sqref="G93">
    <cfRule type="expression" dxfId="739" priority="110">
      <formula>$A93&lt;&gt;""</formula>
    </cfRule>
  </conditionalFormatting>
  <conditionalFormatting sqref="G93">
    <cfRule type="expression" dxfId="738" priority="109">
      <formula>ISBLANK(G93)</formula>
    </cfRule>
  </conditionalFormatting>
  <conditionalFormatting sqref="G93">
    <cfRule type="expression" dxfId="737" priority="108">
      <formula>ISBLANK(G93)</formula>
    </cfRule>
  </conditionalFormatting>
  <conditionalFormatting sqref="G93">
    <cfRule type="expression" dxfId="736" priority="107">
      <formula>$A93&lt;&gt;""</formula>
    </cfRule>
  </conditionalFormatting>
  <conditionalFormatting sqref="G93">
    <cfRule type="expression" dxfId="735" priority="106">
      <formula>ISBLANK(G93)</formula>
    </cfRule>
  </conditionalFormatting>
  <conditionalFormatting sqref="G93">
    <cfRule type="expression" dxfId="734" priority="105">
      <formula>ISBLANK(G93)</formula>
    </cfRule>
  </conditionalFormatting>
  <conditionalFormatting sqref="G93">
    <cfRule type="expression" dxfId="733" priority="104">
      <formula>$A93&lt;&gt;""</formula>
    </cfRule>
  </conditionalFormatting>
  <conditionalFormatting sqref="G93">
    <cfRule type="expression" dxfId="732" priority="103">
      <formula>ISBLANK(G93)</formula>
    </cfRule>
  </conditionalFormatting>
  <conditionalFormatting sqref="G93">
    <cfRule type="expression" dxfId="731" priority="102">
      <formula>ISBLANK(G93)</formula>
    </cfRule>
  </conditionalFormatting>
  <conditionalFormatting sqref="G93">
    <cfRule type="expression" dxfId="730" priority="101">
      <formula>$A93&lt;&gt;""</formula>
    </cfRule>
  </conditionalFormatting>
  <conditionalFormatting sqref="G93">
    <cfRule type="expression" dxfId="729" priority="100">
      <formula>ISBLANK(G93)</formula>
    </cfRule>
  </conditionalFormatting>
  <conditionalFormatting sqref="G93">
    <cfRule type="expression" dxfId="728" priority="99">
      <formula>ISBLANK(G93)</formula>
    </cfRule>
  </conditionalFormatting>
  <conditionalFormatting sqref="G93">
    <cfRule type="expression" dxfId="727" priority="98">
      <formula>$A93&lt;&gt;""</formula>
    </cfRule>
  </conditionalFormatting>
  <conditionalFormatting sqref="G93">
    <cfRule type="expression" dxfId="726" priority="97">
      <formula>ISBLANK(G93)</formula>
    </cfRule>
  </conditionalFormatting>
  <conditionalFormatting sqref="G93">
    <cfRule type="expression" dxfId="725" priority="96">
      <formula>ISBLANK(G93)</formula>
    </cfRule>
  </conditionalFormatting>
  <conditionalFormatting sqref="G93">
    <cfRule type="expression" dxfId="724" priority="95">
      <formula>$A93&lt;&gt;""</formula>
    </cfRule>
  </conditionalFormatting>
  <conditionalFormatting sqref="G93">
    <cfRule type="expression" dxfId="723" priority="94">
      <formula>ISBLANK(G93)</formula>
    </cfRule>
  </conditionalFormatting>
  <conditionalFormatting sqref="G93">
    <cfRule type="expression" dxfId="722" priority="93">
      <formula>ISBLANK(G93)</formula>
    </cfRule>
  </conditionalFormatting>
  <conditionalFormatting sqref="G93">
    <cfRule type="expression" dxfId="721" priority="92">
      <formula>$A93&lt;&gt;""</formula>
    </cfRule>
  </conditionalFormatting>
  <conditionalFormatting sqref="G93">
    <cfRule type="expression" dxfId="720" priority="91">
      <formula>ISBLANK(G93)</formula>
    </cfRule>
  </conditionalFormatting>
  <conditionalFormatting sqref="G93">
    <cfRule type="expression" dxfId="719" priority="90">
      <formula>ISBLANK(G93)</formula>
    </cfRule>
  </conditionalFormatting>
  <conditionalFormatting sqref="G93">
    <cfRule type="expression" dxfId="718" priority="89">
      <formula>$A93&lt;&gt;""</formula>
    </cfRule>
  </conditionalFormatting>
  <conditionalFormatting sqref="G93">
    <cfRule type="expression" dxfId="717" priority="88">
      <formula>ISBLANK(G93)</formula>
    </cfRule>
  </conditionalFormatting>
  <conditionalFormatting sqref="G93">
    <cfRule type="expression" dxfId="716" priority="87">
      <formula>ISBLANK(G93)</formula>
    </cfRule>
  </conditionalFormatting>
  <conditionalFormatting sqref="G93">
    <cfRule type="expression" dxfId="715" priority="86">
      <formula>$A93&lt;&gt;""</formula>
    </cfRule>
  </conditionalFormatting>
  <conditionalFormatting sqref="G93">
    <cfRule type="expression" dxfId="714" priority="85">
      <formula>ISBLANK(G93)</formula>
    </cfRule>
  </conditionalFormatting>
  <conditionalFormatting sqref="G93">
    <cfRule type="expression" dxfId="713" priority="84">
      <formula>ISBLANK(G93)</formula>
    </cfRule>
  </conditionalFormatting>
  <conditionalFormatting sqref="G93">
    <cfRule type="expression" dxfId="712" priority="83">
      <formula>$A93&lt;&gt;""</formula>
    </cfRule>
  </conditionalFormatting>
  <conditionalFormatting sqref="G93">
    <cfRule type="expression" dxfId="711" priority="82">
      <formula>ISBLANK(G93)</formula>
    </cfRule>
  </conditionalFormatting>
  <conditionalFormatting sqref="G93">
    <cfRule type="expression" dxfId="710" priority="81">
      <formula>ISBLANK(G93)</formula>
    </cfRule>
  </conditionalFormatting>
  <conditionalFormatting sqref="G93">
    <cfRule type="expression" dxfId="709" priority="80">
      <formula>$A93&lt;&gt;""</formula>
    </cfRule>
  </conditionalFormatting>
  <conditionalFormatting sqref="G93">
    <cfRule type="expression" dxfId="708" priority="79">
      <formula>ISBLANK(G93)</formula>
    </cfRule>
  </conditionalFormatting>
  <conditionalFormatting sqref="G93">
    <cfRule type="expression" dxfId="707" priority="78">
      <formula>ISBLANK(G93)</formula>
    </cfRule>
  </conditionalFormatting>
  <conditionalFormatting sqref="G93">
    <cfRule type="expression" dxfId="706" priority="77">
      <formula>$A93&lt;&gt;""</formula>
    </cfRule>
  </conditionalFormatting>
  <conditionalFormatting sqref="G93">
    <cfRule type="expression" dxfId="705" priority="76">
      <formula>ISBLANK(G93)</formula>
    </cfRule>
  </conditionalFormatting>
  <conditionalFormatting sqref="G93">
    <cfRule type="expression" dxfId="704" priority="75">
      <formula>ISBLANK(G93)</formula>
    </cfRule>
  </conditionalFormatting>
  <conditionalFormatting sqref="G93">
    <cfRule type="expression" dxfId="703" priority="74">
      <formula>$A93&lt;&gt;""</formula>
    </cfRule>
  </conditionalFormatting>
  <conditionalFormatting sqref="G93">
    <cfRule type="expression" dxfId="702" priority="73">
      <formula>ISBLANK(G93)</formula>
    </cfRule>
  </conditionalFormatting>
  <conditionalFormatting sqref="G93">
    <cfRule type="expression" dxfId="701" priority="72">
      <formula>ISBLANK(G93)</formula>
    </cfRule>
  </conditionalFormatting>
  <conditionalFormatting sqref="G93">
    <cfRule type="expression" dxfId="700" priority="71">
      <formula>$A93&lt;&gt;""</formula>
    </cfRule>
  </conditionalFormatting>
  <conditionalFormatting sqref="G93">
    <cfRule type="expression" dxfId="699" priority="70">
      <formula>ISBLANK(G93)</formula>
    </cfRule>
  </conditionalFormatting>
  <conditionalFormatting sqref="G36">
    <cfRule type="expression" dxfId="698" priority="69">
      <formula>ISBLANK(G36)</formula>
    </cfRule>
  </conditionalFormatting>
  <conditionalFormatting sqref="G36">
    <cfRule type="expression" dxfId="697" priority="68">
      <formula>$A36&lt;&gt;""</formula>
    </cfRule>
  </conditionalFormatting>
  <conditionalFormatting sqref="G36">
    <cfRule type="expression" dxfId="696" priority="67">
      <formula>ISBLANK(G36)</formula>
    </cfRule>
  </conditionalFormatting>
  <conditionalFormatting sqref="G36">
    <cfRule type="expression" dxfId="695" priority="66">
      <formula>ISBLANK(G36)</formula>
    </cfRule>
  </conditionalFormatting>
  <conditionalFormatting sqref="G36">
    <cfRule type="expression" dxfId="694" priority="65">
      <formula>$A36&lt;&gt;""</formula>
    </cfRule>
  </conditionalFormatting>
  <conditionalFormatting sqref="G36">
    <cfRule type="expression" dxfId="693" priority="64">
      <formula>ISBLANK(G36)</formula>
    </cfRule>
  </conditionalFormatting>
  <conditionalFormatting sqref="G36">
    <cfRule type="expression" dxfId="692" priority="63">
      <formula>ISBLANK(G36)</formula>
    </cfRule>
  </conditionalFormatting>
  <conditionalFormatting sqref="G36">
    <cfRule type="expression" dxfId="691" priority="62">
      <formula>$A36&lt;&gt;""</formula>
    </cfRule>
  </conditionalFormatting>
  <conditionalFormatting sqref="G36">
    <cfRule type="expression" dxfId="690" priority="61">
      <formula>ISBLANK(G36)</formula>
    </cfRule>
  </conditionalFormatting>
  <conditionalFormatting sqref="D147:D148">
    <cfRule type="expression" dxfId="689" priority="60">
      <formula>ISBLANK(D147)</formula>
    </cfRule>
  </conditionalFormatting>
  <conditionalFormatting sqref="F147:F148">
    <cfRule type="expression" dxfId="688" priority="59">
      <formula>ISBLANK(F147)</formula>
    </cfRule>
  </conditionalFormatting>
  <conditionalFormatting sqref="G147:G148">
    <cfRule type="expression" dxfId="687" priority="57">
      <formula>ISBLANK(G147)</formula>
    </cfRule>
    <cfRule type="expression" dxfId="686" priority="58">
      <formula>$A147&lt;&gt;""</formula>
    </cfRule>
  </conditionalFormatting>
  <conditionalFormatting sqref="A147">
    <cfRule type="expression" dxfId="685" priority="56">
      <formula>ISBLANK(A147)</formula>
    </cfRule>
  </conditionalFormatting>
  <conditionalFormatting sqref="A147">
    <cfRule type="expression" dxfId="684" priority="55">
      <formula>$A147&lt;&gt;""</formula>
    </cfRule>
  </conditionalFormatting>
  <conditionalFormatting sqref="A147">
    <cfRule type="expression" dxfId="683" priority="54">
      <formula>ISBLANK(A147)</formula>
    </cfRule>
  </conditionalFormatting>
  <conditionalFormatting sqref="A156">
    <cfRule type="expression" dxfId="682" priority="51">
      <formula>ISBLANK(A156)</formula>
    </cfRule>
  </conditionalFormatting>
  <conditionalFormatting sqref="A156">
    <cfRule type="expression" dxfId="681" priority="50">
      <formula>$A156&lt;&gt;""</formula>
    </cfRule>
  </conditionalFormatting>
  <conditionalFormatting sqref="A156">
    <cfRule type="expression" dxfId="680" priority="49">
      <formula>ISBLANK(A156)</formula>
    </cfRule>
  </conditionalFormatting>
  <conditionalFormatting sqref="F146">
    <cfRule type="expression" dxfId="679" priority="48">
      <formula>ISBLANK(F146)</formula>
    </cfRule>
  </conditionalFormatting>
  <conditionalFormatting sqref="F146">
    <cfRule type="expression" dxfId="678" priority="47">
      <formula>$A146&lt;&gt;""</formula>
    </cfRule>
  </conditionalFormatting>
  <conditionalFormatting sqref="G150:G153">
    <cfRule type="expression" dxfId="677" priority="46">
      <formula>$A150&lt;&gt;""</formula>
    </cfRule>
  </conditionalFormatting>
  <conditionalFormatting sqref="G150:G153">
    <cfRule type="expression" dxfId="676" priority="45">
      <formula>ISBLANK(G150)</formula>
    </cfRule>
  </conditionalFormatting>
  <conditionalFormatting sqref="G150:G153">
    <cfRule type="expression" dxfId="675" priority="43">
      <formula>ISBLANK(G150)</formula>
    </cfRule>
    <cfRule type="expression" dxfId="674" priority="44">
      <formula>$A150&lt;&gt;""</formula>
    </cfRule>
  </conditionalFormatting>
  <conditionalFormatting sqref="C11">
    <cfRule type="expression" dxfId="673" priority="42">
      <formula>ISBLANK(C11)</formula>
    </cfRule>
  </conditionalFormatting>
  <conditionalFormatting sqref="C11">
    <cfRule type="expression" dxfId="672" priority="41">
      <formula>$A11&lt;&gt;""</formula>
    </cfRule>
  </conditionalFormatting>
  <conditionalFormatting sqref="C11">
    <cfRule type="expression" dxfId="671" priority="40">
      <formula>ISBLANK(C11)</formula>
    </cfRule>
  </conditionalFormatting>
  <conditionalFormatting sqref="C35">
    <cfRule type="expression" dxfId="670" priority="39">
      <formula>ISBLANK(C35)</formula>
    </cfRule>
  </conditionalFormatting>
  <conditionalFormatting sqref="C35">
    <cfRule type="expression" dxfId="669" priority="38">
      <formula>$A35&lt;&gt;""</formula>
    </cfRule>
  </conditionalFormatting>
  <conditionalFormatting sqref="C35">
    <cfRule type="expression" dxfId="668" priority="37">
      <formula>ISBLANK(C35)</formula>
    </cfRule>
  </conditionalFormatting>
  <conditionalFormatting sqref="C55">
    <cfRule type="expression" dxfId="667" priority="36">
      <formula>ISBLANK(C55)</formula>
    </cfRule>
  </conditionalFormatting>
  <conditionalFormatting sqref="C55">
    <cfRule type="expression" dxfId="666" priority="35">
      <formula>$A55&lt;&gt;""</formula>
    </cfRule>
  </conditionalFormatting>
  <conditionalFormatting sqref="C55">
    <cfRule type="expression" dxfId="665" priority="34">
      <formula>ISBLANK(C55)</formula>
    </cfRule>
  </conditionalFormatting>
  <conditionalFormatting sqref="C59">
    <cfRule type="expression" dxfId="664" priority="33">
      <formula>ISBLANK(C59)</formula>
    </cfRule>
  </conditionalFormatting>
  <conditionalFormatting sqref="C59">
    <cfRule type="expression" dxfId="663" priority="32">
      <formula>$A59&lt;&gt;""</formula>
    </cfRule>
  </conditionalFormatting>
  <conditionalFormatting sqref="C59">
    <cfRule type="expression" dxfId="662" priority="31">
      <formula>ISBLANK(C59)</formula>
    </cfRule>
  </conditionalFormatting>
  <conditionalFormatting sqref="C64">
    <cfRule type="expression" dxfId="661" priority="30">
      <formula>ISBLANK(C64)</formula>
    </cfRule>
  </conditionalFormatting>
  <conditionalFormatting sqref="C64">
    <cfRule type="expression" dxfId="660" priority="29">
      <formula>$A64&lt;&gt;""</formula>
    </cfRule>
  </conditionalFormatting>
  <conditionalFormatting sqref="C64">
    <cfRule type="expression" dxfId="659" priority="28">
      <formula>ISBLANK(C64)</formula>
    </cfRule>
  </conditionalFormatting>
  <conditionalFormatting sqref="C72">
    <cfRule type="expression" dxfId="658" priority="27">
      <formula>ISBLANK(C72)</formula>
    </cfRule>
  </conditionalFormatting>
  <conditionalFormatting sqref="C72">
    <cfRule type="expression" dxfId="657" priority="26">
      <formula>$A72&lt;&gt;""</formula>
    </cfRule>
  </conditionalFormatting>
  <conditionalFormatting sqref="C72">
    <cfRule type="expression" dxfId="656" priority="25">
      <formula>ISBLANK(C72)</formula>
    </cfRule>
  </conditionalFormatting>
  <conditionalFormatting sqref="C77">
    <cfRule type="expression" dxfId="655" priority="24">
      <formula>ISBLANK(C77)</formula>
    </cfRule>
  </conditionalFormatting>
  <conditionalFormatting sqref="C77">
    <cfRule type="expression" dxfId="654" priority="23">
      <formula>$A77&lt;&gt;""</formula>
    </cfRule>
  </conditionalFormatting>
  <conditionalFormatting sqref="C77">
    <cfRule type="expression" dxfId="653" priority="22">
      <formula>ISBLANK(C77)</formula>
    </cfRule>
  </conditionalFormatting>
  <conditionalFormatting sqref="C114">
    <cfRule type="expression" dxfId="652" priority="15">
      <formula>ISBLANK(C114)</formula>
    </cfRule>
  </conditionalFormatting>
  <conditionalFormatting sqref="C114">
    <cfRule type="expression" dxfId="651" priority="14">
      <formula>$A114&lt;&gt;""</formula>
    </cfRule>
  </conditionalFormatting>
  <conditionalFormatting sqref="C114">
    <cfRule type="expression" dxfId="650" priority="13">
      <formula>ISBLANK(C114)</formula>
    </cfRule>
  </conditionalFormatting>
  <conditionalFormatting sqref="C119">
    <cfRule type="expression" dxfId="649" priority="12">
      <formula>ISBLANK(C119)</formula>
    </cfRule>
  </conditionalFormatting>
  <conditionalFormatting sqref="C119">
    <cfRule type="expression" dxfId="648" priority="11">
      <formula>$A119&lt;&gt;""</formula>
    </cfRule>
  </conditionalFormatting>
  <conditionalFormatting sqref="C119">
    <cfRule type="expression" dxfId="647" priority="10">
      <formula>ISBLANK(C119)</formula>
    </cfRule>
  </conditionalFormatting>
  <conditionalFormatting sqref="C130 C126 C103 C82 C67 C50 C45 C40 C30 C25 C20 C15">
    <cfRule type="expression" dxfId="646" priority="9">
      <formula>ISBLANK(C15)</formula>
    </cfRule>
  </conditionalFormatting>
  <conditionalFormatting sqref="C130 C126 C103 C82 C67 C50 C45 C40 C30 C25 C20 C15">
    <cfRule type="expression" dxfId="645" priority="8">
      <formula>$A15&lt;&gt;""</formula>
    </cfRule>
  </conditionalFormatting>
  <conditionalFormatting sqref="C130 C126 C103 C82 C67 C50 C45 C40 C30 C25 C20 C15">
    <cfRule type="expression" dxfId="644" priority="7">
      <formula>ISBLANK(C15)</formula>
    </cfRule>
  </conditionalFormatting>
  <conditionalFormatting sqref="C139 C124 C108 C97 C92">
    <cfRule type="expression" dxfId="643" priority="6">
      <formula>ISBLANK(C92)</formula>
    </cfRule>
  </conditionalFormatting>
  <conditionalFormatting sqref="C139 C124 C108 C97 C92">
    <cfRule type="expression" dxfId="642" priority="5">
      <formula>$A92&lt;&gt;""</formula>
    </cfRule>
  </conditionalFormatting>
  <conditionalFormatting sqref="C139 C124 C108 C97 C92">
    <cfRule type="expression" dxfId="641" priority="4">
      <formula>ISBLANK(C92)</formula>
    </cfRule>
  </conditionalFormatting>
  <conditionalFormatting sqref="A152">
    <cfRule type="expression" dxfId="640" priority="3">
      <formula>ISBLANK(A152)</formula>
    </cfRule>
  </conditionalFormatting>
  <conditionalFormatting sqref="A152">
    <cfRule type="expression" dxfId="639" priority="2">
      <formula>$A152&lt;&gt;""</formula>
    </cfRule>
  </conditionalFormatting>
  <conditionalFormatting sqref="A152">
    <cfRule type="expression" dxfId="638" priority="1">
      <formula>ISBLANK(A152)</formula>
    </cfRule>
  </conditionalFormatting>
  <pageMargins left="0.70866141732283472" right="0.70866141732283472" top="0.74803149606299213" bottom="0.74803149606299213" header="0.31496062992125984" footer="0.31496062992125984"/>
  <pageSetup paperSize="9" scale="22" fitToHeight="4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84A9-54F5-48A9-9678-9EF836F6CAFA}">
  <dimension ref="A1:AB104"/>
  <sheetViews>
    <sheetView tabSelected="1" zoomScaleNormal="100" workbookViewId="0">
      <selection activeCell="C60" sqref="C60"/>
    </sheetView>
  </sheetViews>
  <sheetFormatPr defaultColWidth="9.140625" defaultRowHeight="15" x14ac:dyDescent="0.25"/>
  <cols>
    <col min="1" max="1" width="8.5703125" style="173" customWidth="1"/>
    <col min="2" max="2" width="15.85546875" style="173" customWidth="1"/>
    <col min="3" max="3" width="12.140625" style="173" customWidth="1"/>
    <col min="4" max="4" width="24.5703125" style="173" customWidth="1"/>
    <col min="5" max="5" width="18" style="173" customWidth="1"/>
    <col min="6" max="6" width="13.28515625" style="173" customWidth="1"/>
    <col min="7" max="7" width="17.85546875" style="173" customWidth="1"/>
    <col min="8" max="15" width="9.140625" style="173" customWidth="1"/>
    <col min="16" max="19" width="3" style="173" customWidth="1"/>
    <col min="20" max="21" width="2.28515625" style="173" customWidth="1"/>
    <col min="22" max="22" width="65.140625" style="173" customWidth="1"/>
    <col min="23" max="25" width="9.140625" style="173"/>
    <col min="26" max="26" width="22.28515625" style="173" customWidth="1"/>
    <col min="27" max="16384" width="9.140625" style="173"/>
  </cols>
  <sheetData>
    <row r="1" spans="1:28" ht="15.75" thickBot="1" x14ac:dyDescent="0.3"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312" t="s">
        <v>664</v>
      </c>
      <c r="Q1" s="313"/>
      <c r="R1" s="313"/>
      <c r="S1" s="313"/>
      <c r="T1" s="313"/>
      <c r="U1" s="314"/>
      <c r="V1" s="174"/>
    </row>
    <row r="2" spans="1:28" ht="105" x14ac:dyDescent="0.25">
      <c r="A2" s="163" t="s">
        <v>258</v>
      </c>
      <c r="B2" s="164" t="s">
        <v>259</v>
      </c>
      <c r="C2" s="164" t="s">
        <v>260</v>
      </c>
      <c r="D2" s="164" t="s">
        <v>261</v>
      </c>
      <c r="E2" s="165" t="s">
        <v>262</v>
      </c>
      <c r="F2" s="163" t="s">
        <v>263</v>
      </c>
      <c r="G2" s="165" t="s">
        <v>264</v>
      </c>
      <c r="H2" s="166" t="s">
        <v>265</v>
      </c>
      <c r="I2" s="167" t="s">
        <v>266</v>
      </c>
      <c r="J2" s="167" t="s">
        <v>267</v>
      </c>
      <c r="K2" s="168" t="s">
        <v>268</v>
      </c>
      <c r="L2" s="168" t="s">
        <v>269</v>
      </c>
      <c r="M2" s="169" t="s">
        <v>270</v>
      </c>
      <c r="N2" s="170" t="s">
        <v>271</v>
      </c>
      <c r="O2" s="206" t="s">
        <v>272</v>
      </c>
      <c r="P2" s="208" t="s">
        <v>665</v>
      </c>
      <c r="Q2" s="209" t="s">
        <v>666</v>
      </c>
      <c r="R2" s="209" t="s">
        <v>667</v>
      </c>
      <c r="S2" s="209" t="s">
        <v>668</v>
      </c>
      <c r="T2" s="209" t="s">
        <v>669</v>
      </c>
      <c r="U2" s="210" t="s">
        <v>670</v>
      </c>
      <c r="V2" s="207" t="s">
        <v>183</v>
      </c>
      <c r="AA2" s="265" t="s">
        <v>878</v>
      </c>
      <c r="AB2" s="265" t="s">
        <v>879</v>
      </c>
    </row>
    <row r="3" spans="1:28" ht="30" x14ac:dyDescent="0.25">
      <c r="A3" s="193" t="s">
        <v>672</v>
      </c>
      <c r="B3" s="175" t="s">
        <v>273</v>
      </c>
      <c r="C3" s="298" t="s">
        <v>958</v>
      </c>
      <c r="D3" s="298" t="s">
        <v>880</v>
      </c>
      <c r="E3" s="175" t="str">
        <f>PGI!D5</f>
        <v>Isopropyl acetate</v>
      </c>
      <c r="F3" s="175" t="s">
        <v>274</v>
      </c>
      <c r="G3" s="176">
        <f>PGI!U5</f>
        <v>24.54</v>
      </c>
      <c r="H3" s="175"/>
      <c r="I3" s="175" t="s">
        <v>366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644</v>
      </c>
      <c r="T3" s="175"/>
      <c r="U3" s="202"/>
      <c r="V3" s="196" t="s">
        <v>499</v>
      </c>
      <c r="Z3" s="173" t="str">
        <f>E3</f>
        <v>Isopropyl acetate</v>
      </c>
      <c r="AA3" s="173">
        <f>G3+G23</f>
        <v>26.54</v>
      </c>
    </row>
    <row r="4" spans="1:28" x14ac:dyDescent="0.25">
      <c r="A4" s="175"/>
      <c r="B4" s="175"/>
      <c r="C4" s="175"/>
      <c r="D4" s="175"/>
      <c r="E4" s="175"/>
      <c r="F4" s="175" t="s">
        <v>290</v>
      </c>
      <c r="G4" s="175" t="s">
        <v>633</v>
      </c>
      <c r="H4" s="175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/>
      <c r="T4" s="175" t="s">
        <v>644</v>
      </c>
      <c r="U4" s="202"/>
      <c r="V4" s="196"/>
      <c r="Z4" s="173" t="str">
        <f>E8</f>
        <v>Phthalide (SM.1)</v>
      </c>
      <c r="AA4" s="173">
        <f>G8</f>
        <v>6</v>
      </c>
    </row>
    <row r="5" spans="1:28" x14ac:dyDescent="0.25">
      <c r="A5" s="175"/>
      <c r="B5" s="175"/>
      <c r="C5" s="175"/>
      <c r="D5" s="175"/>
      <c r="E5" s="175"/>
      <c r="F5" s="175" t="s">
        <v>277</v>
      </c>
      <c r="G5" s="252" t="s">
        <v>326</v>
      </c>
      <c r="H5" s="175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Z5" s="173" t="str">
        <f>E13</f>
        <v>ImCHO-DMSA</v>
      </c>
      <c r="AA5" s="173">
        <f>G13</f>
        <v>9.06</v>
      </c>
    </row>
    <row r="6" spans="1:28" x14ac:dyDescent="0.25">
      <c r="A6" s="175"/>
      <c r="B6" s="175"/>
      <c r="C6" s="175"/>
      <c r="D6" s="175"/>
      <c r="E6" s="175"/>
      <c r="F6" s="175" t="s">
        <v>278</v>
      </c>
      <c r="G6" s="305" t="s">
        <v>305</v>
      </c>
      <c r="H6" s="175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Z6" s="173" t="str">
        <f>E18</f>
        <v>NaOMe (30% in MeOH)</v>
      </c>
      <c r="AA6" s="255">
        <f>G18</f>
        <v>26.759999999999998</v>
      </c>
    </row>
    <row r="7" spans="1:28" x14ac:dyDescent="0.25">
      <c r="A7" s="175"/>
      <c r="B7" s="175"/>
      <c r="C7" s="175"/>
      <c r="D7" s="175"/>
      <c r="E7" s="175"/>
      <c r="F7" s="175" t="s">
        <v>279</v>
      </c>
      <c r="G7" s="175" t="s">
        <v>306</v>
      </c>
      <c r="H7" s="175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/>
      <c r="T7" s="175" t="s">
        <v>644</v>
      </c>
      <c r="U7" s="202"/>
      <c r="V7" s="196"/>
      <c r="Z7" s="173" t="str">
        <f>E49</f>
        <v>Hydrochloric acid 35%</v>
      </c>
      <c r="AA7" s="255">
        <f>G49</f>
        <v>13.98</v>
      </c>
    </row>
    <row r="8" spans="1:28" ht="30" x14ac:dyDescent="0.25">
      <c r="A8" s="193" t="s">
        <v>672</v>
      </c>
      <c r="B8" s="175" t="s">
        <v>273</v>
      </c>
      <c r="C8" s="298" t="s">
        <v>958</v>
      </c>
      <c r="D8" s="298" t="s">
        <v>628</v>
      </c>
      <c r="E8" s="175" t="str">
        <f>PGI!D3</f>
        <v>Phthalide (SM.1)</v>
      </c>
      <c r="F8" s="305" t="s">
        <v>274</v>
      </c>
      <c r="G8" s="194">
        <f>PGI!AM3</f>
        <v>6</v>
      </c>
      <c r="H8" s="175"/>
      <c r="I8" s="175" t="s">
        <v>366</v>
      </c>
      <c r="J8" s="175"/>
      <c r="K8" s="175"/>
      <c r="L8" s="175">
        <v>2</v>
      </c>
      <c r="M8" s="175">
        <v>1</v>
      </c>
      <c r="N8" s="175"/>
      <c r="O8" s="195"/>
      <c r="P8" s="201"/>
      <c r="Q8" s="175"/>
      <c r="R8" s="175"/>
      <c r="S8" s="175" t="s">
        <v>644</v>
      </c>
      <c r="T8" s="175"/>
      <c r="U8" s="202"/>
      <c r="V8" s="196" t="s">
        <v>637</v>
      </c>
      <c r="Z8" s="173" t="str">
        <f>E76</f>
        <v>2-propanol</v>
      </c>
      <c r="AA8" s="173">
        <f>G76</f>
        <v>13.98</v>
      </c>
    </row>
    <row r="9" spans="1:28" x14ac:dyDescent="0.25">
      <c r="A9" s="175"/>
      <c r="B9" s="175"/>
      <c r="C9" s="175"/>
      <c r="D9" s="175"/>
      <c r="E9" s="175"/>
      <c r="F9" s="175" t="s">
        <v>290</v>
      </c>
      <c r="G9" s="175" t="s">
        <v>502</v>
      </c>
      <c r="H9" s="175"/>
      <c r="I9" s="175"/>
      <c r="J9" s="175"/>
      <c r="K9" s="175"/>
      <c r="L9" s="175"/>
      <c r="M9" s="175"/>
      <c r="N9" s="175"/>
      <c r="O9" s="195"/>
      <c r="P9" s="201"/>
      <c r="Q9" s="175"/>
      <c r="R9" s="175"/>
      <c r="S9" s="175"/>
      <c r="T9" s="175" t="s">
        <v>644</v>
      </c>
      <c r="U9" s="202"/>
      <c r="V9" s="196"/>
    </row>
    <row r="10" spans="1:28" x14ac:dyDescent="0.25">
      <c r="A10" s="175"/>
      <c r="B10" s="175"/>
      <c r="C10" s="175"/>
      <c r="D10" s="175"/>
      <c r="E10" s="175"/>
      <c r="F10" s="175" t="s">
        <v>277</v>
      </c>
      <c r="G10" s="252" t="s">
        <v>326</v>
      </c>
      <c r="H10" s="175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8" x14ac:dyDescent="0.25">
      <c r="A11" s="175"/>
      <c r="B11" s="175"/>
      <c r="C11" s="175"/>
      <c r="D11" s="175"/>
      <c r="E11" s="175"/>
      <c r="F11" s="175" t="s">
        <v>278</v>
      </c>
      <c r="G11" s="175" t="s">
        <v>305</v>
      </c>
      <c r="H11" s="175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 t="s">
        <v>644</v>
      </c>
      <c r="T11" s="175"/>
      <c r="U11" s="202"/>
      <c r="V11" s="196"/>
    </row>
    <row r="12" spans="1:28" x14ac:dyDescent="0.25">
      <c r="A12" s="175"/>
      <c r="B12" s="175"/>
      <c r="C12" s="175"/>
      <c r="D12" s="175"/>
      <c r="E12" s="175"/>
      <c r="F12" s="175" t="s">
        <v>279</v>
      </c>
      <c r="G12" s="175" t="s">
        <v>306</v>
      </c>
      <c r="H12" s="175"/>
      <c r="I12" s="175"/>
      <c r="J12" s="175"/>
      <c r="K12" s="175"/>
      <c r="L12" s="175"/>
      <c r="M12" s="175"/>
      <c r="N12" s="175"/>
      <c r="O12" s="195"/>
      <c r="P12" s="201"/>
      <c r="Q12" s="175"/>
      <c r="R12" s="175"/>
      <c r="S12" s="175"/>
      <c r="T12" s="175" t="s">
        <v>644</v>
      </c>
      <c r="U12" s="202"/>
      <c r="V12" s="196"/>
    </row>
    <row r="13" spans="1:28" ht="45" x14ac:dyDescent="0.25">
      <c r="A13" s="193" t="s">
        <v>672</v>
      </c>
      <c r="B13" s="175" t="s">
        <v>273</v>
      </c>
      <c r="C13" s="298" t="s">
        <v>958</v>
      </c>
      <c r="D13" s="298" t="s">
        <v>629</v>
      </c>
      <c r="E13" s="175" t="str">
        <f>PGI!D4</f>
        <v>ImCHO-DMSA</v>
      </c>
      <c r="F13" s="175" t="s">
        <v>274</v>
      </c>
      <c r="G13" s="176">
        <f>PGI!U4</f>
        <v>9.06</v>
      </c>
      <c r="H13" s="175"/>
      <c r="I13" s="175" t="s">
        <v>366</v>
      </c>
      <c r="J13" s="175"/>
      <c r="K13" s="175"/>
      <c r="L13" s="175">
        <v>2</v>
      </c>
      <c r="M13" s="175">
        <v>1</v>
      </c>
      <c r="N13" s="175"/>
      <c r="O13" s="195"/>
      <c r="P13" s="201"/>
      <c r="Q13" s="175"/>
      <c r="R13" s="175"/>
      <c r="S13" s="175" t="s">
        <v>644</v>
      </c>
      <c r="T13" s="175"/>
      <c r="U13" s="202"/>
      <c r="V13" s="196" t="s">
        <v>637</v>
      </c>
    </row>
    <row r="14" spans="1:28" x14ac:dyDescent="0.25">
      <c r="A14" s="175"/>
      <c r="B14" s="175"/>
      <c r="C14" s="175"/>
      <c r="D14" s="175"/>
      <c r="E14" s="175"/>
      <c r="F14" s="175" t="s">
        <v>290</v>
      </c>
      <c r="G14" s="175" t="s">
        <v>502</v>
      </c>
      <c r="H14" s="175"/>
      <c r="I14" s="175"/>
      <c r="J14" s="175"/>
      <c r="K14" s="175"/>
      <c r="L14" s="175"/>
      <c r="M14" s="175"/>
      <c r="N14" s="175"/>
      <c r="O14" s="195"/>
      <c r="P14" s="201"/>
      <c r="Q14" s="175"/>
      <c r="R14" s="175"/>
      <c r="S14" s="175"/>
      <c r="T14" s="175" t="s">
        <v>644</v>
      </c>
      <c r="U14" s="202"/>
      <c r="V14" s="196"/>
    </row>
    <row r="15" spans="1:28" x14ac:dyDescent="0.25">
      <c r="A15" s="175"/>
      <c r="B15" s="175"/>
      <c r="C15" s="175"/>
      <c r="D15" s="175"/>
      <c r="E15" s="175"/>
      <c r="F15" s="175" t="s">
        <v>277</v>
      </c>
      <c r="G15" s="252" t="s">
        <v>326</v>
      </c>
      <c r="H15" s="175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8" x14ac:dyDescent="0.25">
      <c r="A16" s="175"/>
      <c r="B16" s="175"/>
      <c r="C16" s="175"/>
      <c r="D16" s="175"/>
      <c r="E16" s="175"/>
      <c r="F16" s="175" t="s">
        <v>278</v>
      </c>
      <c r="G16" s="175" t="s">
        <v>500</v>
      </c>
      <c r="H16" s="175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 t="s">
        <v>644</v>
      </c>
      <c r="T16" s="175"/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279</v>
      </c>
      <c r="G17" s="175" t="s">
        <v>306</v>
      </c>
      <c r="H17" s="175"/>
      <c r="I17" s="175"/>
      <c r="J17" s="175"/>
      <c r="K17" s="175"/>
      <c r="L17" s="175"/>
      <c r="M17" s="175"/>
      <c r="N17" s="175"/>
      <c r="O17" s="195"/>
      <c r="P17" s="201"/>
      <c r="Q17" s="175"/>
      <c r="R17" s="175"/>
      <c r="S17" s="175"/>
      <c r="T17" s="175" t="s">
        <v>644</v>
      </c>
      <c r="U17" s="202"/>
      <c r="V17" s="196"/>
    </row>
    <row r="18" spans="1:22" ht="60" x14ac:dyDescent="0.25">
      <c r="A18" s="193" t="s">
        <v>672</v>
      </c>
      <c r="B18" s="175" t="s">
        <v>273</v>
      </c>
      <c r="C18" s="298" t="s">
        <v>958</v>
      </c>
      <c r="D18" s="298" t="s">
        <v>630</v>
      </c>
      <c r="E18" s="175" t="str">
        <f>PGI!D7</f>
        <v>NaOMe (30% in MeOH)</v>
      </c>
      <c r="F18" s="175" t="s">
        <v>274</v>
      </c>
      <c r="G18" s="176">
        <f>PGI!U7</f>
        <v>26.759999999999998</v>
      </c>
      <c r="H18" s="176">
        <f>43/3*G8</f>
        <v>86</v>
      </c>
      <c r="I18" s="175" t="s">
        <v>366</v>
      </c>
      <c r="J18" s="175"/>
      <c r="K18" s="175"/>
      <c r="L18" s="175">
        <v>2</v>
      </c>
      <c r="M18" s="175">
        <v>1</v>
      </c>
      <c r="N18" s="175"/>
      <c r="O18" s="195"/>
      <c r="P18" s="201"/>
      <c r="Q18" s="175"/>
      <c r="R18" s="175"/>
      <c r="S18" s="175" t="s">
        <v>644</v>
      </c>
      <c r="T18" s="175"/>
      <c r="U18" s="202"/>
      <c r="V18" s="196" t="s">
        <v>501</v>
      </c>
    </row>
    <row r="19" spans="1:22" x14ac:dyDescent="0.25">
      <c r="A19" s="175"/>
      <c r="B19" s="175"/>
      <c r="C19" s="175"/>
      <c r="D19" s="175"/>
      <c r="E19" s="175"/>
      <c r="F19" s="175" t="s">
        <v>290</v>
      </c>
      <c r="G19" s="175" t="s">
        <v>503</v>
      </c>
      <c r="H19" s="175"/>
      <c r="I19" s="175"/>
      <c r="J19" s="175"/>
      <c r="K19" s="175"/>
      <c r="L19" s="175"/>
      <c r="M19" s="175"/>
      <c r="N19" s="175"/>
      <c r="O19" s="195"/>
      <c r="P19" s="201"/>
      <c r="Q19" s="175"/>
      <c r="R19" s="175"/>
      <c r="S19" s="175" t="s">
        <v>644</v>
      </c>
      <c r="T19" s="175"/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277</v>
      </c>
      <c r="G20" s="175" t="s">
        <v>634</v>
      </c>
      <c r="H20" s="175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 t="s">
        <v>644</v>
      </c>
      <c r="T20" s="175"/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5" t="s">
        <v>500</v>
      </c>
      <c r="H21" s="175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279</v>
      </c>
      <c r="G22" s="175" t="s">
        <v>367</v>
      </c>
      <c r="H22" s="175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/>
      <c r="T22" s="175" t="s">
        <v>644</v>
      </c>
      <c r="U22" s="202"/>
      <c r="V22" s="196"/>
    </row>
    <row r="23" spans="1:22" ht="30" x14ac:dyDescent="0.25">
      <c r="A23" s="193" t="s">
        <v>672</v>
      </c>
      <c r="B23" s="175" t="s">
        <v>273</v>
      </c>
      <c r="C23" s="298" t="s">
        <v>958</v>
      </c>
      <c r="D23" s="298" t="s">
        <v>504</v>
      </c>
      <c r="E23" s="175" t="str">
        <f>PGI!D6</f>
        <v>Isopropyl acetate</v>
      </c>
      <c r="F23" s="175" t="s">
        <v>274</v>
      </c>
      <c r="G23" s="176">
        <f>PGI!U6</f>
        <v>2</v>
      </c>
      <c r="H23" s="175"/>
      <c r="I23" s="175" t="s">
        <v>366</v>
      </c>
      <c r="J23" s="175"/>
      <c r="K23" s="175"/>
      <c r="L23" s="175">
        <v>2</v>
      </c>
      <c r="M23" s="175">
        <v>1</v>
      </c>
      <c r="N23" s="175"/>
      <c r="O23" s="195"/>
      <c r="P23" s="201"/>
      <c r="Q23" s="175"/>
      <c r="R23" s="175"/>
      <c r="S23" s="175" t="s">
        <v>644</v>
      </c>
      <c r="T23" s="175"/>
      <c r="U23" s="202"/>
      <c r="V23" s="196" t="s">
        <v>505</v>
      </c>
    </row>
    <row r="24" spans="1:22" x14ac:dyDescent="0.25">
      <c r="A24" s="175"/>
      <c r="B24" s="175"/>
      <c r="C24" s="175"/>
      <c r="D24" s="175"/>
      <c r="E24" s="175"/>
      <c r="F24" s="175" t="s">
        <v>290</v>
      </c>
      <c r="G24" s="175" t="s">
        <v>502</v>
      </c>
      <c r="H24" s="175"/>
      <c r="I24" s="175"/>
      <c r="J24" s="175"/>
      <c r="K24" s="175"/>
      <c r="L24" s="175"/>
      <c r="M24" s="175"/>
      <c r="N24" s="175"/>
      <c r="O24" s="195"/>
      <c r="P24" s="201"/>
      <c r="Q24" s="175"/>
      <c r="R24" s="175"/>
      <c r="S24" s="175"/>
      <c r="T24" s="175" t="s">
        <v>644</v>
      </c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277</v>
      </c>
      <c r="G25" s="298" t="s">
        <v>634</v>
      </c>
      <c r="H25" s="175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278</v>
      </c>
      <c r="G26" s="175" t="s">
        <v>500</v>
      </c>
      <c r="H26" s="175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 t="s">
        <v>644</v>
      </c>
      <c r="T26" s="175"/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279</v>
      </c>
      <c r="G27" s="175" t="s">
        <v>306</v>
      </c>
      <c r="H27" s="175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/>
      <c r="T27" s="175" t="s">
        <v>644</v>
      </c>
      <c r="U27" s="202"/>
      <c r="V27" s="196"/>
    </row>
    <row r="28" spans="1:22" x14ac:dyDescent="0.25">
      <c r="A28" s="193" t="s">
        <v>672</v>
      </c>
      <c r="B28" s="175" t="s">
        <v>338</v>
      </c>
      <c r="C28" s="193" t="s">
        <v>709</v>
      </c>
      <c r="D28" s="298" t="s">
        <v>368</v>
      </c>
      <c r="E28" s="175"/>
      <c r="F28" s="175" t="s">
        <v>290</v>
      </c>
      <c r="G28" s="175" t="s">
        <v>569</v>
      </c>
      <c r="H28" s="175"/>
      <c r="I28" s="175" t="s">
        <v>366</v>
      </c>
      <c r="J28" s="175"/>
      <c r="K28" s="175"/>
      <c r="L28" s="175">
        <v>1</v>
      </c>
      <c r="M28" s="175">
        <v>1</v>
      </c>
      <c r="N28" s="175"/>
      <c r="O28" s="195"/>
      <c r="P28" s="201"/>
      <c r="Q28" s="175"/>
      <c r="R28" s="175"/>
      <c r="S28" s="175" t="s">
        <v>644</v>
      </c>
      <c r="T28" s="175"/>
      <c r="U28" s="202"/>
      <c r="V28" s="196" t="s">
        <v>638</v>
      </c>
    </row>
    <row r="29" spans="1:22" x14ac:dyDescent="0.25">
      <c r="A29" s="175"/>
      <c r="B29" s="175"/>
      <c r="C29" s="175"/>
      <c r="D29" s="175"/>
      <c r="E29" s="175"/>
      <c r="F29" s="175" t="s">
        <v>291</v>
      </c>
      <c r="G29" s="175" t="s">
        <v>506</v>
      </c>
      <c r="H29" s="175"/>
      <c r="I29" s="175"/>
      <c r="J29" s="175"/>
      <c r="K29" s="175"/>
      <c r="L29" s="175"/>
      <c r="M29" s="175"/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292</v>
      </c>
      <c r="G30" s="175" t="s">
        <v>507</v>
      </c>
      <c r="H30" s="175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/>
    </row>
    <row r="31" spans="1:22" x14ac:dyDescent="0.25">
      <c r="A31" s="175"/>
      <c r="B31" s="175"/>
      <c r="C31" s="175"/>
      <c r="D31" s="175"/>
      <c r="E31" s="175"/>
      <c r="F31" s="175" t="s">
        <v>278</v>
      </c>
      <c r="G31" s="175" t="s">
        <v>500</v>
      </c>
      <c r="H31" s="175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 t="s">
        <v>644</v>
      </c>
      <c r="T31" s="175"/>
      <c r="U31" s="202"/>
      <c r="V31" s="196"/>
    </row>
    <row r="32" spans="1:22" ht="30" x14ac:dyDescent="0.25">
      <c r="A32" s="193" t="s">
        <v>672</v>
      </c>
      <c r="B32" s="175" t="s">
        <v>369</v>
      </c>
      <c r="C32" s="193" t="s">
        <v>709</v>
      </c>
      <c r="D32" s="298" t="s">
        <v>370</v>
      </c>
      <c r="E32" s="175"/>
      <c r="F32" s="175" t="s">
        <v>290</v>
      </c>
      <c r="G32" s="175" t="s">
        <v>569</v>
      </c>
      <c r="H32" s="175"/>
      <c r="I32" s="175" t="s">
        <v>366</v>
      </c>
      <c r="J32" s="175"/>
      <c r="K32" s="175"/>
      <c r="L32" s="175">
        <v>1</v>
      </c>
      <c r="M32" s="175">
        <v>1</v>
      </c>
      <c r="N32" s="175"/>
      <c r="O32" s="195"/>
      <c r="P32" s="201"/>
      <c r="Q32" s="175"/>
      <c r="R32" s="175"/>
      <c r="S32" s="175" t="s">
        <v>644</v>
      </c>
      <c r="T32" s="175"/>
      <c r="U32" s="202"/>
      <c r="V32" s="196" t="s">
        <v>638</v>
      </c>
    </row>
    <row r="33" spans="1:22" x14ac:dyDescent="0.25">
      <c r="A33" s="175"/>
      <c r="B33" s="175"/>
      <c r="C33" s="175"/>
      <c r="D33" s="175"/>
      <c r="E33" s="175"/>
      <c r="F33" s="175" t="s">
        <v>291</v>
      </c>
      <c r="G33" s="175" t="s">
        <v>506</v>
      </c>
      <c r="H33" s="175"/>
      <c r="I33" s="175"/>
      <c r="J33" s="175"/>
      <c r="K33" s="175"/>
      <c r="L33" s="175"/>
      <c r="M33" s="175"/>
      <c r="N33" s="175"/>
      <c r="O33" s="195"/>
      <c r="P33" s="201"/>
      <c r="Q33" s="175"/>
      <c r="R33" s="175"/>
      <c r="S33" s="175" t="s">
        <v>644</v>
      </c>
      <c r="T33" s="175"/>
      <c r="U33" s="202"/>
      <c r="V33" s="196"/>
    </row>
    <row r="34" spans="1:22" x14ac:dyDescent="0.25">
      <c r="A34" s="175"/>
      <c r="B34" s="175"/>
      <c r="C34" s="175"/>
      <c r="D34" s="175"/>
      <c r="E34" s="175"/>
      <c r="F34" s="175" t="s">
        <v>278</v>
      </c>
      <c r="G34" s="175" t="s">
        <v>323</v>
      </c>
      <c r="H34" s="175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/>
    </row>
    <row r="35" spans="1:22" x14ac:dyDescent="0.25">
      <c r="A35" s="175"/>
      <c r="B35" s="175"/>
      <c r="C35" s="175"/>
      <c r="D35" s="175"/>
      <c r="E35" s="175"/>
      <c r="F35" s="175" t="s">
        <v>284</v>
      </c>
      <c r="G35" s="175" t="s">
        <v>635</v>
      </c>
      <c r="H35" s="175"/>
      <c r="I35" s="175"/>
      <c r="J35" s="175"/>
      <c r="K35" s="175"/>
      <c r="L35" s="175"/>
      <c r="M35" s="175"/>
      <c r="N35" s="175"/>
      <c r="O35" s="195"/>
      <c r="P35" s="201"/>
      <c r="Q35" s="175"/>
      <c r="R35" s="194" t="s">
        <v>644</v>
      </c>
      <c r="S35" s="175"/>
      <c r="T35" s="175"/>
      <c r="U35" s="202"/>
      <c r="V35" s="196" t="s">
        <v>639</v>
      </c>
    </row>
    <row r="36" spans="1:22" x14ac:dyDescent="0.25">
      <c r="A36" s="175"/>
      <c r="B36" s="175"/>
      <c r="C36" s="175"/>
      <c r="D36" s="175"/>
      <c r="E36" s="175"/>
      <c r="F36" s="245" t="s">
        <v>310</v>
      </c>
      <c r="G36" s="175" t="s">
        <v>502</v>
      </c>
      <c r="H36" s="175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/>
      <c r="T36" s="245" t="s">
        <v>760</v>
      </c>
      <c r="U36" s="202"/>
    </row>
    <row r="37" spans="1:22" ht="30" x14ac:dyDescent="0.25">
      <c r="A37" s="193" t="s">
        <v>672</v>
      </c>
      <c r="B37" s="191" t="s">
        <v>315</v>
      </c>
      <c r="C37" s="193" t="s">
        <v>709</v>
      </c>
      <c r="D37" s="299" t="s">
        <v>371</v>
      </c>
      <c r="E37" s="175"/>
      <c r="F37" s="175" t="s">
        <v>312</v>
      </c>
      <c r="G37" s="175" t="s">
        <v>372</v>
      </c>
      <c r="H37" s="175"/>
      <c r="I37" s="175" t="s">
        <v>366</v>
      </c>
      <c r="J37" s="175"/>
      <c r="K37" s="175"/>
      <c r="L37" s="175">
        <v>1</v>
      </c>
      <c r="M37" s="175">
        <v>1</v>
      </c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373</v>
      </c>
    </row>
    <row r="38" spans="1:22" x14ac:dyDescent="0.25">
      <c r="A38" s="175"/>
      <c r="B38" s="175"/>
      <c r="C38" s="175"/>
      <c r="D38" s="175"/>
      <c r="E38" s="175"/>
      <c r="F38" s="175" t="s">
        <v>313</v>
      </c>
      <c r="G38" s="175" t="s">
        <v>636</v>
      </c>
      <c r="H38" s="175"/>
      <c r="I38" s="175"/>
      <c r="J38" s="175"/>
      <c r="K38" s="175"/>
      <c r="L38" s="175"/>
      <c r="M38" s="175"/>
      <c r="N38" s="175"/>
      <c r="O38" s="195"/>
      <c r="P38" s="201"/>
      <c r="Q38" s="175"/>
      <c r="R38" s="175"/>
      <c r="S38" s="175" t="s">
        <v>644</v>
      </c>
      <c r="T38" s="175"/>
      <c r="U38" s="202"/>
      <c r="V38" s="196"/>
    </row>
    <row r="39" spans="1:22" ht="45" x14ac:dyDescent="0.25">
      <c r="A39" s="175"/>
      <c r="B39" s="175"/>
      <c r="C39" s="175"/>
      <c r="D39" s="175"/>
      <c r="E39" s="175"/>
      <c r="F39" s="175" t="s">
        <v>314</v>
      </c>
      <c r="G39" s="175" t="s">
        <v>374</v>
      </c>
      <c r="H39" s="175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/>
      <c r="T39" s="175" t="s">
        <v>644</v>
      </c>
      <c r="U39" s="202"/>
      <c r="V39" s="196" t="s">
        <v>640</v>
      </c>
    </row>
    <row r="40" spans="1:22" ht="45" x14ac:dyDescent="0.25">
      <c r="A40" s="193" t="s">
        <v>672</v>
      </c>
      <c r="B40" s="175" t="s">
        <v>299</v>
      </c>
      <c r="C40" s="298" t="s">
        <v>959</v>
      </c>
      <c r="D40" s="175" t="s">
        <v>519</v>
      </c>
      <c r="E40" s="175"/>
      <c r="F40" s="175" t="s">
        <v>290</v>
      </c>
      <c r="G40" s="175" t="s">
        <v>520</v>
      </c>
      <c r="H40" s="175" t="s">
        <v>307</v>
      </c>
      <c r="I40" s="175" t="s">
        <v>509</v>
      </c>
      <c r="J40" s="175"/>
      <c r="K40" s="175"/>
      <c r="L40" s="175">
        <v>1</v>
      </c>
      <c r="M40" s="175">
        <v>1</v>
      </c>
      <c r="N40" s="175"/>
      <c r="O40" s="195"/>
      <c r="P40" s="201"/>
      <c r="Q40" s="175"/>
      <c r="R40" s="175"/>
      <c r="S40" s="175" t="s">
        <v>644</v>
      </c>
      <c r="T40" s="175"/>
      <c r="U40" s="202"/>
      <c r="V40" s="196" t="s">
        <v>521</v>
      </c>
    </row>
    <row r="41" spans="1:22" ht="45" x14ac:dyDescent="0.25">
      <c r="A41" s="175"/>
      <c r="B41" s="175"/>
      <c r="C41" s="175"/>
      <c r="D41" s="175"/>
      <c r="E41" s="175"/>
      <c r="F41" s="175" t="s">
        <v>291</v>
      </c>
      <c r="G41" s="175" t="s">
        <v>375</v>
      </c>
      <c r="H41" s="175"/>
      <c r="I41" s="175"/>
      <c r="J41" s="175"/>
      <c r="K41" s="175"/>
      <c r="L41" s="175"/>
      <c r="M41" s="175"/>
      <c r="N41" s="175"/>
      <c r="O41" s="195"/>
      <c r="P41" s="201"/>
      <c r="Q41" s="175"/>
      <c r="R41" s="175"/>
      <c r="S41" s="175"/>
      <c r="T41" s="175"/>
      <c r="U41" s="202"/>
      <c r="V41" s="196" t="s">
        <v>376</v>
      </c>
    </row>
    <row r="42" spans="1:22" ht="30" x14ac:dyDescent="0.25">
      <c r="A42" s="175"/>
      <c r="B42" s="175"/>
      <c r="C42" s="175"/>
      <c r="D42" s="175"/>
      <c r="E42" s="175"/>
      <c r="F42" s="175" t="s">
        <v>377</v>
      </c>
      <c r="G42" s="175" t="s">
        <v>523</v>
      </c>
      <c r="H42" s="175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/>
      <c r="T42" s="175" t="s">
        <v>644</v>
      </c>
      <c r="U42" s="202"/>
      <c r="V42" s="196" t="s">
        <v>378</v>
      </c>
    </row>
    <row r="43" spans="1:22" x14ac:dyDescent="0.25">
      <c r="A43" s="175"/>
      <c r="B43" s="175"/>
      <c r="C43" s="175"/>
      <c r="D43" s="175"/>
      <c r="E43" s="175"/>
      <c r="F43" s="175" t="s">
        <v>379</v>
      </c>
      <c r="G43" s="175" t="s">
        <v>522</v>
      </c>
      <c r="H43" s="175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 t="s">
        <v>508</v>
      </c>
    </row>
    <row r="44" spans="1:22" ht="30" x14ac:dyDescent="0.25">
      <c r="A44" s="193" t="s">
        <v>672</v>
      </c>
      <c r="B44" s="175" t="s">
        <v>273</v>
      </c>
      <c r="C44" s="298" t="s">
        <v>958</v>
      </c>
      <c r="D44" s="298" t="s">
        <v>631</v>
      </c>
      <c r="E44" s="175" t="str">
        <f>PGI!D8</f>
        <v>Water</v>
      </c>
      <c r="F44" s="175" t="s">
        <v>274</v>
      </c>
      <c r="G44" s="176">
        <f>PGI!U8</f>
        <v>84</v>
      </c>
      <c r="H44" s="175"/>
      <c r="I44" s="175" t="s">
        <v>509</v>
      </c>
      <c r="J44" s="175"/>
      <c r="K44" s="175"/>
      <c r="L44" s="175">
        <v>2</v>
      </c>
      <c r="M44" s="175">
        <v>1</v>
      </c>
      <c r="N44" s="175"/>
      <c r="O44" s="195"/>
      <c r="P44" s="201"/>
      <c r="Q44" s="175"/>
      <c r="R44" s="175"/>
      <c r="S44" s="175" t="s">
        <v>644</v>
      </c>
      <c r="T44" s="175"/>
      <c r="U44" s="202"/>
      <c r="V44" s="196" t="s">
        <v>641</v>
      </c>
    </row>
    <row r="45" spans="1:22" x14ac:dyDescent="0.25">
      <c r="A45" s="175"/>
      <c r="B45" s="175"/>
      <c r="C45" s="175"/>
      <c r="D45" s="175"/>
      <c r="E45" s="175"/>
      <c r="F45" s="175" t="s">
        <v>290</v>
      </c>
      <c r="G45" s="175" t="s">
        <v>328</v>
      </c>
      <c r="H45" s="175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 t="s">
        <v>644</v>
      </c>
      <c r="T45" s="175"/>
      <c r="U45" s="202"/>
      <c r="V45" s="196"/>
    </row>
    <row r="46" spans="1:22" x14ac:dyDescent="0.25">
      <c r="A46" s="175"/>
      <c r="B46" s="175"/>
      <c r="C46" s="175"/>
      <c r="D46" s="175"/>
      <c r="E46" s="175"/>
      <c r="F46" s="175" t="s">
        <v>277</v>
      </c>
      <c r="G46" s="252" t="s">
        <v>326</v>
      </c>
      <c r="H46" s="175"/>
      <c r="I46" s="175"/>
      <c r="J46" s="175"/>
      <c r="K46" s="175"/>
      <c r="L46" s="175"/>
      <c r="M46" s="175"/>
      <c r="N46" s="175"/>
      <c r="O46" s="195"/>
      <c r="P46" s="201"/>
      <c r="Q46" s="175"/>
      <c r="R46" s="175"/>
      <c r="S46" s="175"/>
      <c r="T46" s="175" t="s">
        <v>644</v>
      </c>
      <c r="U46" s="202"/>
      <c r="V46" s="196"/>
    </row>
    <row r="47" spans="1:22" x14ac:dyDescent="0.25">
      <c r="A47" s="175"/>
      <c r="B47" s="175"/>
      <c r="C47" s="175"/>
      <c r="D47" s="175"/>
      <c r="E47" s="175"/>
      <c r="F47" s="175" t="s">
        <v>278</v>
      </c>
      <c r="G47" s="175" t="s">
        <v>500</v>
      </c>
      <c r="H47" s="175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 t="s">
        <v>644</v>
      </c>
      <c r="T47" s="175"/>
      <c r="U47" s="202"/>
      <c r="V47" s="196"/>
    </row>
    <row r="48" spans="1:22" x14ac:dyDescent="0.25">
      <c r="A48" s="175"/>
      <c r="B48" s="175"/>
      <c r="C48" s="175"/>
      <c r="D48" s="175"/>
      <c r="E48" s="175"/>
      <c r="F48" s="175" t="s">
        <v>279</v>
      </c>
      <c r="G48" s="175" t="s">
        <v>306</v>
      </c>
      <c r="H48" s="175"/>
      <c r="I48" s="175"/>
      <c r="J48" s="175"/>
      <c r="K48" s="175"/>
      <c r="L48" s="175"/>
      <c r="M48" s="175"/>
      <c r="N48" s="175"/>
      <c r="O48" s="195"/>
      <c r="P48" s="201"/>
      <c r="Q48" s="175"/>
      <c r="R48" s="175"/>
      <c r="S48" s="175"/>
      <c r="T48" s="175" t="s">
        <v>644</v>
      </c>
      <c r="U48" s="202"/>
      <c r="V48" s="196"/>
    </row>
    <row r="49" spans="1:22" ht="45" x14ac:dyDescent="0.25">
      <c r="A49" s="193" t="s">
        <v>672</v>
      </c>
      <c r="B49" s="175" t="s">
        <v>273</v>
      </c>
      <c r="C49" s="298" t="s">
        <v>958</v>
      </c>
      <c r="D49" s="298" t="s">
        <v>632</v>
      </c>
      <c r="E49" s="175" t="str">
        <f>PGI!D9</f>
        <v>Hydrochloric acid 35%</v>
      </c>
      <c r="F49" s="175" t="s">
        <v>274</v>
      </c>
      <c r="G49" s="176">
        <f>PGI!U9</f>
        <v>13.98</v>
      </c>
      <c r="H49" s="176">
        <f>68/3*G8</f>
        <v>136</v>
      </c>
      <c r="I49" s="175" t="s">
        <v>366</v>
      </c>
      <c r="J49" s="175"/>
      <c r="K49" s="175"/>
      <c r="L49" s="175">
        <v>2</v>
      </c>
      <c r="M49" s="175">
        <v>1</v>
      </c>
      <c r="N49" s="175"/>
      <c r="O49" s="195"/>
      <c r="P49" s="201"/>
      <c r="Q49" s="175"/>
      <c r="R49" s="175"/>
      <c r="S49" s="175" t="s">
        <v>644</v>
      </c>
      <c r="T49" s="175"/>
      <c r="U49" s="202"/>
      <c r="V49" s="196" t="s">
        <v>525</v>
      </c>
    </row>
    <row r="50" spans="1:22" x14ac:dyDescent="0.25">
      <c r="A50" s="175"/>
      <c r="B50" s="175"/>
      <c r="C50" s="175"/>
      <c r="D50" s="175"/>
      <c r="E50" s="175"/>
      <c r="F50" s="175" t="s">
        <v>290</v>
      </c>
      <c r="G50" s="175" t="s">
        <v>526</v>
      </c>
      <c r="H50" s="175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 t="s">
        <v>644</v>
      </c>
      <c r="T50" s="175"/>
      <c r="U50" s="202"/>
      <c r="V50" s="196"/>
    </row>
    <row r="51" spans="1:22" x14ac:dyDescent="0.25">
      <c r="A51" s="175"/>
      <c r="B51" s="175"/>
      <c r="C51" s="175"/>
      <c r="D51" s="175"/>
      <c r="E51" s="175"/>
      <c r="F51" s="175" t="s">
        <v>277</v>
      </c>
      <c r="G51" s="175" t="s">
        <v>527</v>
      </c>
      <c r="H51" s="175"/>
      <c r="I51" s="175"/>
      <c r="J51" s="175"/>
      <c r="K51" s="175"/>
      <c r="L51" s="175"/>
      <c r="M51" s="175"/>
      <c r="N51" s="175"/>
      <c r="O51" s="195"/>
      <c r="P51" s="201"/>
      <c r="Q51" s="175"/>
      <c r="R51" s="175"/>
      <c r="S51" s="175" t="s">
        <v>644</v>
      </c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278</v>
      </c>
      <c r="G52" s="175" t="s">
        <v>500</v>
      </c>
      <c r="H52" s="175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 t="s">
        <v>644</v>
      </c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346</v>
      </c>
      <c r="G53" s="175" t="s">
        <v>530</v>
      </c>
      <c r="H53" s="175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 t="s">
        <v>644</v>
      </c>
      <c r="T53" s="175"/>
      <c r="U53" s="202"/>
      <c r="V53" s="196"/>
    </row>
    <row r="54" spans="1:22" x14ac:dyDescent="0.25">
      <c r="A54" s="175"/>
      <c r="B54" s="175"/>
      <c r="C54" s="175"/>
      <c r="D54" s="175"/>
      <c r="E54" s="175"/>
      <c r="F54" s="175" t="s">
        <v>279</v>
      </c>
      <c r="G54" s="175" t="s">
        <v>528</v>
      </c>
      <c r="H54" s="175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 t="s">
        <v>644</v>
      </c>
      <c r="U54" s="202"/>
      <c r="V54" s="196"/>
    </row>
    <row r="55" spans="1:22" ht="45" x14ac:dyDescent="0.25">
      <c r="A55" s="193" t="s">
        <v>672</v>
      </c>
      <c r="B55" s="175" t="s">
        <v>309</v>
      </c>
      <c r="C55" s="193" t="s">
        <v>709</v>
      </c>
      <c r="D55" s="298" t="s">
        <v>510</v>
      </c>
      <c r="E55" s="175"/>
      <c r="F55" s="175" t="s">
        <v>290</v>
      </c>
      <c r="G55" s="175" t="s">
        <v>512</v>
      </c>
      <c r="H55" s="175"/>
      <c r="I55" s="304" t="s">
        <v>992</v>
      </c>
      <c r="J55" s="175"/>
      <c r="K55" s="175"/>
      <c r="L55" s="175">
        <v>1</v>
      </c>
      <c r="M55" s="175">
        <v>1</v>
      </c>
      <c r="N55" s="175"/>
      <c r="O55" s="195"/>
      <c r="P55" s="201"/>
      <c r="Q55" s="175"/>
      <c r="R55" s="175"/>
      <c r="S55" s="175" t="s">
        <v>644</v>
      </c>
      <c r="T55" s="175"/>
      <c r="U55" s="202"/>
      <c r="V55" s="196"/>
    </row>
    <row r="56" spans="1:22" x14ac:dyDescent="0.25">
      <c r="A56" s="175"/>
      <c r="B56" s="175"/>
      <c r="C56" s="175"/>
      <c r="D56" s="175"/>
      <c r="E56" s="175"/>
      <c r="F56" s="175" t="s">
        <v>291</v>
      </c>
      <c r="G56" s="175" t="s">
        <v>326</v>
      </c>
      <c r="H56" s="175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 t="s">
        <v>644</v>
      </c>
      <c r="T56" s="175"/>
      <c r="U56" s="202"/>
      <c r="V56" s="196"/>
    </row>
    <row r="57" spans="1:22" x14ac:dyDescent="0.25">
      <c r="A57" s="175"/>
      <c r="B57" s="175"/>
      <c r="C57" s="175"/>
      <c r="D57" s="175"/>
      <c r="E57" s="175"/>
      <c r="F57" s="175" t="s">
        <v>278</v>
      </c>
      <c r="G57" s="175" t="s">
        <v>513</v>
      </c>
      <c r="H57" s="175"/>
      <c r="I57" s="175"/>
      <c r="J57" s="175"/>
      <c r="K57" s="175"/>
      <c r="L57" s="175"/>
      <c r="M57" s="175"/>
      <c r="N57" s="175"/>
      <c r="O57" s="195"/>
      <c r="P57" s="201"/>
      <c r="Q57" s="175"/>
      <c r="R57" s="175"/>
      <c r="S57" s="175" t="s">
        <v>644</v>
      </c>
      <c r="T57" s="175"/>
      <c r="U57" s="202"/>
      <c r="V57" s="196"/>
    </row>
    <row r="58" spans="1:22" ht="30" x14ac:dyDescent="0.25">
      <c r="A58" s="175"/>
      <c r="B58" s="175"/>
      <c r="C58" s="175"/>
      <c r="D58" s="175"/>
      <c r="E58" s="175"/>
      <c r="F58" s="175" t="s">
        <v>284</v>
      </c>
      <c r="G58" s="175" t="s">
        <v>514</v>
      </c>
      <c r="H58" s="175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 t="s">
        <v>644</v>
      </c>
      <c r="T58" s="175"/>
      <c r="U58" s="202"/>
      <c r="V58" s="196" t="s">
        <v>529</v>
      </c>
    </row>
    <row r="59" spans="1:22" x14ac:dyDescent="0.25">
      <c r="A59" s="175"/>
      <c r="B59" s="175"/>
      <c r="C59" s="175"/>
      <c r="D59" s="175"/>
      <c r="E59" s="175"/>
      <c r="F59" s="175" t="s">
        <v>310</v>
      </c>
      <c r="G59" s="175" t="s">
        <v>511</v>
      </c>
      <c r="H59" s="175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 t="s">
        <v>644</v>
      </c>
      <c r="U59" s="202"/>
      <c r="V59" s="196" t="s">
        <v>515</v>
      </c>
    </row>
    <row r="60" spans="1:22" ht="60" x14ac:dyDescent="0.25">
      <c r="A60" s="193" t="s">
        <v>672</v>
      </c>
      <c r="B60" s="175" t="s">
        <v>348</v>
      </c>
      <c r="C60" s="298" t="s">
        <v>959</v>
      </c>
      <c r="D60" s="298" t="s">
        <v>516</v>
      </c>
      <c r="E60" s="175"/>
      <c r="F60" s="175" t="s">
        <v>295</v>
      </c>
      <c r="G60" s="175" t="s">
        <v>517</v>
      </c>
      <c r="H60" s="175"/>
      <c r="I60" s="304" t="s">
        <v>992</v>
      </c>
      <c r="J60" s="175"/>
      <c r="K60" s="175"/>
      <c r="L60" s="175">
        <v>2</v>
      </c>
      <c r="M60" s="175">
        <v>2</v>
      </c>
      <c r="N60" s="175"/>
      <c r="O60" s="195"/>
      <c r="P60" s="201"/>
      <c r="Q60" s="175"/>
      <c r="R60" s="175"/>
      <c r="S60" s="175"/>
      <c r="T60" s="175" t="s">
        <v>644</v>
      </c>
      <c r="U60" s="202"/>
      <c r="V60" s="196" t="s">
        <v>531</v>
      </c>
    </row>
    <row r="61" spans="1:22" x14ac:dyDescent="0.25">
      <c r="A61" s="175"/>
      <c r="B61" s="175"/>
      <c r="C61" s="175"/>
      <c r="D61" s="175"/>
      <c r="E61" s="175"/>
      <c r="F61" s="175" t="s">
        <v>296</v>
      </c>
      <c r="G61" s="175" t="s">
        <v>518</v>
      </c>
      <c r="H61" s="175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 t="s">
        <v>644</v>
      </c>
      <c r="T61" s="175"/>
      <c r="U61" s="202"/>
      <c r="V61" s="196"/>
    </row>
    <row r="62" spans="1:22" ht="45" x14ac:dyDescent="0.25">
      <c r="A62" s="193" t="s">
        <v>672</v>
      </c>
      <c r="B62" s="175" t="s">
        <v>309</v>
      </c>
      <c r="C62" s="193" t="s">
        <v>709</v>
      </c>
      <c r="D62" s="298" t="s">
        <v>553</v>
      </c>
      <c r="E62" s="175"/>
      <c r="F62" s="175" t="s">
        <v>290</v>
      </c>
      <c r="G62" s="175" t="s">
        <v>502</v>
      </c>
      <c r="H62" s="175"/>
      <c r="I62" s="304" t="s">
        <v>992</v>
      </c>
      <c r="J62" s="175"/>
      <c r="K62" s="175"/>
      <c r="L62" s="175">
        <v>2</v>
      </c>
      <c r="M62" s="175">
        <v>2</v>
      </c>
      <c r="N62" s="175"/>
      <c r="O62" s="195"/>
      <c r="P62" s="201"/>
      <c r="Q62" s="175"/>
      <c r="R62" s="175"/>
      <c r="S62" s="175"/>
      <c r="T62" s="175" t="s">
        <v>644</v>
      </c>
      <c r="U62" s="202"/>
      <c r="V62" s="196"/>
    </row>
    <row r="63" spans="1:22" x14ac:dyDescent="0.25">
      <c r="A63" s="175"/>
      <c r="B63" s="175"/>
      <c r="C63" s="175"/>
      <c r="D63" s="175"/>
      <c r="E63" s="175"/>
      <c r="F63" s="175" t="s">
        <v>291</v>
      </c>
      <c r="G63" s="175" t="s">
        <v>502</v>
      </c>
      <c r="H63" s="175"/>
      <c r="I63" s="175"/>
      <c r="J63" s="175"/>
      <c r="K63" s="175"/>
      <c r="L63" s="175"/>
      <c r="M63" s="175"/>
      <c r="N63" s="175"/>
      <c r="O63" s="195"/>
      <c r="P63" s="201"/>
      <c r="Q63" s="175"/>
      <c r="R63" s="175"/>
      <c r="S63" s="175"/>
      <c r="T63" s="175" t="s">
        <v>644</v>
      </c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278</v>
      </c>
      <c r="G64" s="175" t="s">
        <v>502</v>
      </c>
      <c r="H64" s="175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/>
      <c r="T64" s="175" t="s">
        <v>644</v>
      </c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284</v>
      </c>
      <c r="G65" s="175" t="s">
        <v>532</v>
      </c>
      <c r="H65" s="175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310</v>
      </c>
      <c r="G66" s="175" t="s">
        <v>502</v>
      </c>
      <c r="H66" s="175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ht="45" x14ac:dyDescent="0.25">
      <c r="A67" s="193" t="s">
        <v>672</v>
      </c>
      <c r="B67" s="175" t="s">
        <v>293</v>
      </c>
      <c r="C67" s="304" t="s">
        <v>960</v>
      </c>
      <c r="D67" s="298" t="s">
        <v>915</v>
      </c>
      <c r="E67" s="175" t="str">
        <f>PGI!D10</f>
        <v>Water</v>
      </c>
      <c r="F67" s="175" t="s">
        <v>274</v>
      </c>
      <c r="G67" s="176">
        <f>PGI!U10</f>
        <v>18</v>
      </c>
      <c r="H67" s="175"/>
      <c r="I67" s="304" t="s">
        <v>992</v>
      </c>
      <c r="J67" s="175"/>
      <c r="K67" s="175"/>
      <c r="L67" s="175">
        <v>2</v>
      </c>
      <c r="M67" s="175">
        <v>2</v>
      </c>
      <c r="N67" s="175"/>
      <c r="O67" s="195"/>
      <c r="P67" s="201"/>
      <c r="Q67" s="175"/>
      <c r="R67" s="175"/>
      <c r="S67" s="175" t="s">
        <v>644</v>
      </c>
      <c r="T67" s="175"/>
      <c r="U67" s="202"/>
      <c r="V67" s="196" t="s">
        <v>535</v>
      </c>
    </row>
    <row r="68" spans="1:22" ht="45" x14ac:dyDescent="0.25">
      <c r="A68" s="175"/>
      <c r="B68" s="175"/>
      <c r="C68" s="175"/>
      <c r="D68" s="175"/>
      <c r="E68" s="175"/>
      <c r="F68" s="175" t="s">
        <v>294</v>
      </c>
      <c r="G68" s="252" t="s">
        <v>326</v>
      </c>
      <c r="H68" s="175"/>
      <c r="I68" s="175"/>
      <c r="J68" s="175"/>
      <c r="K68" s="175"/>
      <c r="L68" s="175"/>
      <c r="M68" s="175"/>
      <c r="N68" s="175"/>
      <c r="O68" s="195"/>
      <c r="P68" s="201"/>
      <c r="Q68" s="175"/>
      <c r="R68" s="175"/>
      <c r="S68" s="175"/>
      <c r="T68" s="175" t="s">
        <v>644</v>
      </c>
      <c r="U68" s="202"/>
      <c r="V68" s="196"/>
    </row>
    <row r="69" spans="1:22" ht="30" x14ac:dyDescent="0.25">
      <c r="A69" s="175"/>
      <c r="B69" s="175"/>
      <c r="C69" s="175"/>
      <c r="D69" s="175"/>
      <c r="E69" s="175"/>
      <c r="F69" s="175" t="s">
        <v>278</v>
      </c>
      <c r="G69" s="298" t="s">
        <v>534</v>
      </c>
      <c r="H69" s="175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45" x14ac:dyDescent="0.25">
      <c r="A70" s="193" t="s">
        <v>672</v>
      </c>
      <c r="B70" s="175" t="s">
        <v>293</v>
      </c>
      <c r="C70" s="298" t="s">
        <v>960</v>
      </c>
      <c r="D70" s="292" t="s">
        <v>916</v>
      </c>
      <c r="E70" s="175" t="str">
        <f>PGI!D11</f>
        <v>Water</v>
      </c>
      <c r="F70" s="175" t="s">
        <v>274</v>
      </c>
      <c r="G70" s="176">
        <f>PGI!U11</f>
        <v>18</v>
      </c>
      <c r="H70" s="175"/>
      <c r="I70" s="304" t="s">
        <v>992</v>
      </c>
      <c r="J70" s="175"/>
      <c r="K70" s="175"/>
      <c r="L70" s="175">
        <v>2</v>
      </c>
      <c r="M70" s="175">
        <v>2</v>
      </c>
      <c r="N70" s="175"/>
      <c r="O70" s="195"/>
      <c r="P70" s="201"/>
      <c r="Q70" s="175"/>
      <c r="R70" s="175"/>
      <c r="S70" s="175" t="s">
        <v>644</v>
      </c>
      <c r="T70" s="175"/>
      <c r="U70" s="202"/>
      <c r="V70" s="196"/>
    </row>
    <row r="71" spans="1:22" ht="45" x14ac:dyDescent="0.25">
      <c r="A71" s="175"/>
      <c r="B71" s="175"/>
      <c r="C71" s="175"/>
      <c r="D71" s="175"/>
      <c r="E71" s="175"/>
      <c r="F71" s="175" t="s">
        <v>294</v>
      </c>
      <c r="G71" s="252" t="s">
        <v>326</v>
      </c>
      <c r="H71" s="175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/>
      <c r="T71" s="175" t="s">
        <v>644</v>
      </c>
      <c r="U71" s="202"/>
      <c r="V71" s="196"/>
    </row>
    <row r="72" spans="1:22" ht="30" x14ac:dyDescent="0.25">
      <c r="A72" s="175"/>
      <c r="B72" s="175"/>
      <c r="C72" s="175"/>
      <c r="D72" s="175"/>
      <c r="E72" s="175"/>
      <c r="F72" s="175" t="s">
        <v>278</v>
      </c>
      <c r="G72" s="175" t="s">
        <v>534</v>
      </c>
      <c r="H72" s="175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/>
    </row>
    <row r="73" spans="1:22" ht="45" x14ac:dyDescent="0.25">
      <c r="A73" s="193" t="s">
        <v>672</v>
      </c>
      <c r="B73" s="175" t="s">
        <v>293</v>
      </c>
      <c r="C73" s="298" t="s">
        <v>960</v>
      </c>
      <c r="D73" s="292" t="s">
        <v>917</v>
      </c>
      <c r="E73" s="175" t="str">
        <f>PGI!D12</f>
        <v>Water</v>
      </c>
      <c r="F73" s="175" t="s">
        <v>274</v>
      </c>
      <c r="G73" s="176">
        <f>PGI!U12</f>
        <v>18</v>
      </c>
      <c r="H73" s="175"/>
      <c r="I73" s="304" t="s">
        <v>992</v>
      </c>
      <c r="J73" s="175"/>
      <c r="K73" s="175"/>
      <c r="L73" s="175">
        <v>2</v>
      </c>
      <c r="M73" s="175">
        <v>2</v>
      </c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/>
      <c r="B74" s="175"/>
      <c r="C74" s="175"/>
      <c r="D74" s="175"/>
      <c r="E74" s="175"/>
      <c r="F74" s="175" t="s">
        <v>294</v>
      </c>
      <c r="G74" s="252" t="s">
        <v>326</v>
      </c>
      <c r="H74" s="175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/>
      <c r="T74" s="175" t="s">
        <v>644</v>
      </c>
      <c r="U74" s="202"/>
      <c r="V74" s="196"/>
    </row>
    <row r="75" spans="1:22" ht="30" x14ac:dyDescent="0.25">
      <c r="A75" s="175"/>
      <c r="B75" s="175"/>
      <c r="C75" s="175"/>
      <c r="D75" s="175"/>
      <c r="E75" s="175"/>
      <c r="F75" s="175" t="s">
        <v>278</v>
      </c>
      <c r="G75" s="175" t="s">
        <v>534</v>
      </c>
      <c r="H75" s="175"/>
      <c r="I75" s="175"/>
      <c r="J75" s="175"/>
      <c r="K75" s="175"/>
      <c r="L75" s="175"/>
      <c r="M75" s="175"/>
      <c r="N75" s="175"/>
      <c r="O75" s="195"/>
      <c r="P75" s="201"/>
      <c r="Q75" s="175"/>
      <c r="R75" s="175"/>
      <c r="S75" s="175"/>
      <c r="T75" s="175" t="s">
        <v>644</v>
      </c>
      <c r="U75" s="202"/>
      <c r="V75" s="196"/>
    </row>
    <row r="76" spans="1:22" ht="60" x14ac:dyDescent="0.25">
      <c r="A76" s="193" t="s">
        <v>672</v>
      </c>
      <c r="B76" s="175" t="s">
        <v>293</v>
      </c>
      <c r="C76" s="298" t="s">
        <v>960</v>
      </c>
      <c r="D76" s="298" t="s">
        <v>921</v>
      </c>
      <c r="E76" s="175" t="str">
        <f>PGI!D13</f>
        <v>2-propanol</v>
      </c>
      <c r="F76" s="175" t="s">
        <v>274</v>
      </c>
      <c r="G76" s="176">
        <f>PGI!U13</f>
        <v>13.98</v>
      </c>
      <c r="H76" s="175"/>
      <c r="I76" s="304" t="s">
        <v>992</v>
      </c>
      <c r="J76" s="175"/>
      <c r="K76" s="175"/>
      <c r="L76" s="175">
        <v>2</v>
      </c>
      <c r="M76" s="175">
        <v>2</v>
      </c>
      <c r="N76" s="175"/>
      <c r="O76" s="195"/>
      <c r="P76" s="201"/>
      <c r="Q76" s="175"/>
      <c r="R76" s="175"/>
      <c r="S76" s="175" t="s">
        <v>644</v>
      </c>
      <c r="T76" s="175"/>
      <c r="U76" s="202"/>
      <c r="V76" s="196" t="s">
        <v>642</v>
      </c>
    </row>
    <row r="77" spans="1:22" ht="45" x14ac:dyDescent="0.25">
      <c r="A77" s="175"/>
      <c r="B77" s="175"/>
      <c r="C77" s="175"/>
      <c r="D77" s="175"/>
      <c r="E77" s="175"/>
      <c r="F77" s="175" t="s">
        <v>294</v>
      </c>
      <c r="G77" s="252" t="s">
        <v>326</v>
      </c>
      <c r="H77" s="175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278</v>
      </c>
      <c r="G78" s="175" t="s">
        <v>534</v>
      </c>
      <c r="H78" s="175"/>
      <c r="I78" s="175"/>
      <c r="J78" s="175"/>
      <c r="K78" s="175"/>
      <c r="L78" s="175"/>
      <c r="M78" s="175"/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60" x14ac:dyDescent="0.25">
      <c r="A79" s="193" t="s">
        <v>672</v>
      </c>
      <c r="B79" s="175" t="s">
        <v>293</v>
      </c>
      <c r="C79" s="298" t="s">
        <v>960</v>
      </c>
      <c r="D79" s="292" t="s">
        <v>922</v>
      </c>
      <c r="E79" s="175" t="str">
        <f>PGI!D14</f>
        <v>2-propanol</v>
      </c>
      <c r="F79" s="175" t="s">
        <v>274</v>
      </c>
      <c r="G79" s="176">
        <f>PGI!U14</f>
        <v>13.98</v>
      </c>
      <c r="H79" s="175"/>
      <c r="I79" s="304" t="s">
        <v>992</v>
      </c>
      <c r="J79" s="175"/>
      <c r="K79" s="175"/>
      <c r="L79" s="175">
        <v>2</v>
      </c>
      <c r="M79" s="175">
        <v>2</v>
      </c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ht="45" x14ac:dyDescent="0.25">
      <c r="A80" s="175"/>
      <c r="B80" s="175"/>
      <c r="C80" s="175"/>
      <c r="D80" s="175"/>
      <c r="E80" s="175"/>
      <c r="F80" s="175" t="s">
        <v>294</v>
      </c>
      <c r="G80" s="252" t="s">
        <v>326</v>
      </c>
      <c r="H80" s="175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/>
      <c r="T80" s="175" t="s">
        <v>644</v>
      </c>
      <c r="U80" s="202"/>
      <c r="V80" s="196"/>
    </row>
    <row r="81" spans="1:22" ht="30" x14ac:dyDescent="0.25">
      <c r="A81" s="175"/>
      <c r="B81" s="175"/>
      <c r="C81" s="175"/>
      <c r="D81" s="175"/>
      <c r="E81" s="175"/>
      <c r="F81" s="175" t="s">
        <v>278</v>
      </c>
      <c r="G81" s="175" t="s">
        <v>534</v>
      </c>
      <c r="H81" s="175"/>
      <c r="I81" s="175"/>
      <c r="J81" s="175"/>
      <c r="K81" s="175"/>
      <c r="L81" s="175"/>
      <c r="M81" s="175"/>
      <c r="N81" s="175"/>
      <c r="O81" s="195"/>
      <c r="P81" s="201"/>
      <c r="Q81" s="175"/>
      <c r="R81" s="175"/>
      <c r="S81" s="175"/>
      <c r="T81" s="175" t="s">
        <v>644</v>
      </c>
      <c r="U81" s="202"/>
      <c r="V81" s="196"/>
    </row>
    <row r="82" spans="1:22" ht="45" x14ac:dyDescent="0.25">
      <c r="A82" s="193" t="s">
        <v>672</v>
      </c>
      <c r="B82" s="175" t="s">
        <v>309</v>
      </c>
      <c r="C82" s="193" t="s">
        <v>709</v>
      </c>
      <c r="D82" s="298" t="s">
        <v>553</v>
      </c>
      <c r="E82" s="175"/>
      <c r="F82" s="175" t="s">
        <v>290</v>
      </c>
      <c r="G82" s="175" t="s">
        <v>502</v>
      </c>
      <c r="H82" s="175"/>
      <c r="I82" s="304" t="s">
        <v>992</v>
      </c>
      <c r="J82" s="175"/>
      <c r="K82" s="175"/>
      <c r="L82" s="175"/>
      <c r="M82" s="175"/>
      <c r="N82" s="175"/>
      <c r="O82" s="195"/>
      <c r="P82" s="201"/>
      <c r="Q82" s="175"/>
      <c r="R82" s="175"/>
      <c r="S82" s="175"/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291</v>
      </c>
      <c r="G83" s="175" t="s">
        <v>502</v>
      </c>
      <c r="H83" s="175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/>
      <c r="U83" s="202"/>
      <c r="V83" s="196"/>
    </row>
    <row r="84" spans="1:22" x14ac:dyDescent="0.25">
      <c r="A84" s="175"/>
      <c r="B84" s="175"/>
      <c r="C84" s="175"/>
      <c r="D84" s="175"/>
      <c r="E84" s="175"/>
      <c r="F84" s="175" t="s">
        <v>278</v>
      </c>
      <c r="G84" s="175" t="s">
        <v>502</v>
      </c>
      <c r="H84" s="175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/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284</v>
      </c>
      <c r="G85" s="175" t="s">
        <v>532</v>
      </c>
      <c r="H85" s="175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/>
      <c r="T85" s="175"/>
      <c r="U85" s="202"/>
      <c r="V85" s="196"/>
    </row>
    <row r="86" spans="1:22" x14ac:dyDescent="0.25">
      <c r="A86" s="175"/>
      <c r="B86" s="175"/>
      <c r="C86" s="175"/>
      <c r="D86" s="175"/>
      <c r="E86" s="175"/>
      <c r="F86" s="175" t="s">
        <v>310</v>
      </c>
      <c r="G86" s="175" t="s">
        <v>502</v>
      </c>
      <c r="H86" s="175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/>
      <c r="T86" s="175"/>
      <c r="U86" s="202"/>
      <c r="V86" s="196"/>
    </row>
    <row r="87" spans="1:22" ht="30" x14ac:dyDescent="0.25">
      <c r="A87" s="193" t="s">
        <v>672</v>
      </c>
      <c r="B87" s="175" t="s">
        <v>351</v>
      </c>
      <c r="C87" s="298" t="s">
        <v>959</v>
      </c>
      <c r="D87" s="298" t="s">
        <v>537</v>
      </c>
      <c r="E87" s="175"/>
      <c r="F87" s="175" t="s">
        <v>290</v>
      </c>
      <c r="G87" s="175" t="s">
        <v>360</v>
      </c>
      <c r="H87" s="175"/>
      <c r="I87" s="304" t="s">
        <v>993</v>
      </c>
      <c r="J87" s="175"/>
      <c r="K87" s="175"/>
      <c r="L87" s="175">
        <v>2</v>
      </c>
      <c r="M87" s="175">
        <v>2</v>
      </c>
      <c r="N87" s="175"/>
      <c r="O87" s="195"/>
      <c r="P87" s="201"/>
      <c r="Q87" s="175"/>
      <c r="R87" s="175"/>
      <c r="S87" s="175" t="s">
        <v>644</v>
      </c>
      <c r="T87" s="175"/>
      <c r="U87" s="202"/>
      <c r="V87" s="196" t="s">
        <v>643</v>
      </c>
    </row>
    <row r="88" spans="1:22" ht="30" x14ac:dyDescent="0.25">
      <c r="A88" s="175"/>
      <c r="B88" s="175"/>
      <c r="C88" s="175"/>
      <c r="D88" s="175"/>
      <c r="E88" s="175"/>
      <c r="F88" s="175" t="s">
        <v>301</v>
      </c>
      <c r="G88" s="175" t="s">
        <v>502</v>
      </c>
      <c r="H88" s="175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/>
      <c r="U88" s="202"/>
      <c r="V88" s="196"/>
    </row>
    <row r="89" spans="1:22" x14ac:dyDescent="0.25">
      <c r="A89" s="175"/>
      <c r="B89" s="175"/>
      <c r="C89" s="175"/>
      <c r="D89" s="175"/>
      <c r="E89" s="175"/>
      <c r="F89" s="175" t="s">
        <v>302</v>
      </c>
      <c r="G89" s="175" t="s">
        <v>538</v>
      </c>
      <c r="H89" s="175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303</v>
      </c>
      <c r="G90" s="175" t="s">
        <v>487</v>
      </c>
      <c r="H90" s="175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304</v>
      </c>
      <c r="G91" s="175" t="s">
        <v>511</v>
      </c>
      <c r="H91" s="175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45" x14ac:dyDescent="0.25">
      <c r="A92" s="175"/>
      <c r="B92" s="175"/>
      <c r="C92" s="175"/>
      <c r="D92" s="175"/>
      <c r="E92" s="175"/>
      <c r="F92" s="175" t="s">
        <v>284</v>
      </c>
      <c r="G92" s="175" t="s">
        <v>539</v>
      </c>
      <c r="H92" s="175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/>
      <c r="T92" s="175" t="s">
        <v>644</v>
      </c>
      <c r="U92" s="202"/>
      <c r="V92" s="196"/>
    </row>
    <row r="93" spans="1:22" x14ac:dyDescent="0.25">
      <c r="A93" s="175"/>
      <c r="B93" s="175"/>
      <c r="C93" s="175"/>
      <c r="D93" s="175"/>
      <c r="E93" s="175"/>
      <c r="F93" s="187" t="s">
        <v>596</v>
      </c>
      <c r="G93" s="264">
        <f>PGI!O15</f>
        <v>0.56000000000000005</v>
      </c>
      <c r="H93" s="175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/>
      <c r="T93" s="175"/>
      <c r="U93" s="202"/>
      <c r="V93" s="196"/>
    </row>
    <row r="94" spans="1:22" x14ac:dyDescent="0.25">
      <c r="A94" s="175"/>
      <c r="B94" s="175"/>
      <c r="C94" s="175"/>
      <c r="D94" s="175"/>
      <c r="E94" s="175"/>
      <c r="F94" s="187" t="s">
        <v>597</v>
      </c>
      <c r="G94" s="264">
        <f>PGI!U15</f>
        <v>7.9995705658689342</v>
      </c>
      <c r="H94" s="175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/>
      <c r="U94" s="202"/>
      <c r="V94" s="196" t="s">
        <v>540</v>
      </c>
    </row>
    <row r="95" spans="1:22" ht="30" x14ac:dyDescent="0.25">
      <c r="A95" s="175" t="s">
        <v>3</v>
      </c>
      <c r="B95" s="175" t="s">
        <v>541</v>
      </c>
      <c r="C95" s="298" t="s">
        <v>709</v>
      </c>
      <c r="D95" s="175" t="s">
        <v>542</v>
      </c>
      <c r="E95" s="175"/>
      <c r="F95" s="175" t="s">
        <v>543</v>
      </c>
      <c r="G95" s="175" t="s">
        <v>544</v>
      </c>
      <c r="H95" s="175"/>
      <c r="I95" s="175"/>
      <c r="J95" s="175"/>
      <c r="K95" s="175"/>
      <c r="L95" s="175">
        <v>2</v>
      </c>
      <c r="M95" s="175">
        <v>3</v>
      </c>
      <c r="N95" s="175"/>
      <c r="O95" s="195"/>
      <c r="P95" s="201"/>
      <c r="Q95" s="175"/>
      <c r="R95" s="175"/>
      <c r="S95" s="175"/>
      <c r="T95" s="175"/>
      <c r="U95" s="202"/>
      <c r="V95" s="196"/>
    </row>
    <row r="96" spans="1:22" ht="30" x14ac:dyDescent="0.25">
      <c r="A96" s="175"/>
      <c r="B96" s="175"/>
      <c r="C96" s="175"/>
      <c r="D96" s="175"/>
      <c r="E96" s="175"/>
      <c r="F96" s="175" t="s">
        <v>545</v>
      </c>
      <c r="G96" s="253" t="s">
        <v>547</v>
      </c>
      <c r="H96" s="175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/>
      <c r="U96" s="202"/>
      <c r="V96" s="196"/>
    </row>
    <row r="97" spans="1:27" x14ac:dyDescent="0.25">
      <c r="A97" s="175"/>
      <c r="B97" s="175"/>
      <c r="C97" s="175"/>
      <c r="D97" s="175"/>
      <c r="E97" s="175"/>
      <c r="F97" s="175" t="s">
        <v>546</v>
      </c>
      <c r="G97" s="253" t="s">
        <v>909</v>
      </c>
      <c r="H97" s="175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/>
      <c r="T97" s="175"/>
      <c r="U97" s="202"/>
      <c r="V97" s="196"/>
    </row>
    <row r="98" spans="1:27" customFormat="1" ht="30" x14ac:dyDescent="0.25">
      <c r="A98" s="175" t="s">
        <v>3</v>
      </c>
      <c r="B98" s="175"/>
      <c r="C98" s="175"/>
      <c r="D98" s="298" t="s">
        <v>961</v>
      </c>
      <c r="E98" s="175"/>
      <c r="F98" s="300" t="s">
        <v>559</v>
      </c>
      <c r="G98" s="302" t="s">
        <v>962</v>
      </c>
      <c r="H98" s="176"/>
      <c r="I98" s="175"/>
      <c r="J98" s="175"/>
      <c r="K98" s="175"/>
      <c r="L98" s="175"/>
      <c r="M98" s="175"/>
      <c r="N98" s="175"/>
      <c r="O98" s="195"/>
      <c r="P98" s="201"/>
      <c r="Q98" s="175"/>
      <c r="R98" s="175"/>
      <c r="S98" s="238"/>
      <c r="T98" s="175"/>
      <c r="U98" s="202"/>
      <c r="V98" s="196"/>
      <c r="Z98" s="1"/>
      <c r="AA98" s="1"/>
    </row>
    <row r="99" spans="1:27" customFormat="1" ht="30" x14ac:dyDescent="0.25">
      <c r="A99" s="175"/>
      <c r="B99" s="175"/>
      <c r="C99" s="175"/>
      <c r="D99" s="175"/>
      <c r="E99" s="175"/>
      <c r="F99" s="301" t="s">
        <v>437</v>
      </c>
      <c r="G99" s="302" t="s">
        <v>967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238"/>
      <c r="T99" s="175"/>
      <c r="U99" s="202"/>
      <c r="V99" s="196"/>
      <c r="Z99" s="1"/>
      <c r="AA99" s="1"/>
    </row>
    <row r="100" spans="1:27" ht="30" x14ac:dyDescent="0.25">
      <c r="A100" s="175" t="s">
        <v>3</v>
      </c>
      <c r="B100" s="175" t="s">
        <v>548</v>
      </c>
      <c r="C100" s="175"/>
      <c r="D100" s="175" t="s">
        <v>549</v>
      </c>
      <c r="E100" s="175"/>
      <c r="F100" s="175" t="s">
        <v>550</v>
      </c>
      <c r="G100" s="190" t="s">
        <v>663</v>
      </c>
      <c r="H100" s="175"/>
      <c r="I100" s="175"/>
      <c r="J100" s="175"/>
      <c r="K100" s="175"/>
      <c r="L100" s="175">
        <v>2</v>
      </c>
      <c r="M100" s="175">
        <v>3</v>
      </c>
      <c r="N100" s="175"/>
      <c r="O100" s="195"/>
      <c r="P100" s="201"/>
      <c r="Q100" s="175"/>
      <c r="R100" s="175"/>
      <c r="S100" s="175"/>
      <c r="T100" s="175"/>
      <c r="U100" s="202"/>
      <c r="V100" s="196"/>
    </row>
    <row r="101" spans="1:27" ht="30.75" thickBot="1" x14ac:dyDescent="0.3">
      <c r="A101" s="175"/>
      <c r="B101" s="175"/>
      <c r="C101" s="175"/>
      <c r="D101" s="175"/>
      <c r="E101" s="175"/>
      <c r="F101" s="175" t="s">
        <v>551</v>
      </c>
      <c r="G101" s="175" t="s">
        <v>552</v>
      </c>
      <c r="H101" s="175"/>
      <c r="I101" s="175"/>
      <c r="J101" s="175"/>
      <c r="K101" s="175"/>
      <c r="L101" s="175"/>
      <c r="M101" s="175"/>
      <c r="N101" s="175"/>
      <c r="O101" s="195"/>
      <c r="P101" s="203"/>
      <c r="Q101" s="204"/>
      <c r="R101" s="204"/>
      <c r="S101" s="204"/>
      <c r="T101" s="204"/>
      <c r="U101" s="205"/>
      <c r="V101" s="196"/>
    </row>
    <row r="102" spans="1:27" x14ac:dyDescent="0.25">
      <c r="A102" s="175" t="s">
        <v>3</v>
      </c>
      <c r="B102" s="252" t="s">
        <v>808</v>
      </c>
      <c r="C102" s="252"/>
      <c r="D102" s="252"/>
      <c r="E102" s="252"/>
      <c r="F102" s="252" t="s">
        <v>809</v>
      </c>
      <c r="G102" s="250" t="s">
        <v>502</v>
      </c>
    </row>
    <row r="103" spans="1:27" x14ac:dyDescent="0.25">
      <c r="A103" s="175"/>
      <c r="B103" s="252"/>
      <c r="C103" s="252"/>
      <c r="D103" s="252"/>
      <c r="E103" s="252"/>
      <c r="F103" s="252" t="s">
        <v>810</v>
      </c>
      <c r="G103" s="250" t="s">
        <v>502</v>
      </c>
    </row>
    <row r="104" spans="1:27" x14ac:dyDescent="0.25">
      <c r="A104" s="175"/>
      <c r="B104" s="254"/>
      <c r="C104" s="158"/>
      <c r="D104" s="158"/>
      <c r="E104" s="158"/>
      <c r="F104" s="158" t="s">
        <v>811</v>
      </c>
      <c r="G104" s="250" t="s">
        <v>502</v>
      </c>
    </row>
  </sheetData>
  <mergeCells count="1">
    <mergeCell ref="P1:U1"/>
  </mergeCells>
  <conditionalFormatting sqref="A36:E36 A95:V95 A93:E94 H93:V94 A100:V101 A96:F97 H96:V97 G36:S36 A3:V35 A37:V92">
    <cfRule type="expression" dxfId="637" priority="120">
      <formula>ISBLANK(A3)</formula>
    </cfRule>
  </conditionalFormatting>
  <conditionalFormatting sqref="A35:E36 H35:Q36 R36:S36 A95:V95 A93:E94 H93:V94 A100:V101 A96:F97 H96:V97 A3:V34 A37:V92">
    <cfRule type="expression" dxfId="636" priority="119">
      <formula>$A3&lt;&gt;""</formula>
    </cfRule>
  </conditionalFormatting>
  <conditionalFormatting sqref="K3:O7">
    <cfRule type="expression" dxfId="635" priority="124">
      <formula>#REF!&lt;&gt;""</formula>
    </cfRule>
  </conditionalFormatting>
  <conditionalFormatting sqref="N2:O2">
    <cfRule type="expression" dxfId="634" priority="121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633" priority="122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632" priority="123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D3:D8">
    <cfRule type="expression" dxfId="631" priority="59">
      <formula>ISBLANK(D3)</formula>
    </cfRule>
  </conditionalFormatting>
  <conditionalFormatting sqref="D3:D8">
    <cfRule type="expression" dxfId="630" priority="60">
      <formula>$A3&lt;&gt;""</formula>
    </cfRule>
  </conditionalFormatting>
  <conditionalFormatting sqref="G3:G8">
    <cfRule type="expression" dxfId="629" priority="57">
      <formula>$A3&lt;&gt;""</formula>
    </cfRule>
  </conditionalFormatting>
  <conditionalFormatting sqref="G3:G8">
    <cfRule type="expression" dxfId="628" priority="54">
      <formula>ISBLANK(G3)</formula>
    </cfRule>
  </conditionalFormatting>
  <conditionalFormatting sqref="P1:R2">
    <cfRule type="containsText" dxfId="627" priority="46" operator="containsText" text="x">
      <formula>NOT(ISERROR(SEARCH("x",P1)))</formula>
    </cfRule>
  </conditionalFormatting>
  <conditionalFormatting sqref="F35:G35 R35:V35">
    <cfRule type="expression" dxfId="626" priority="634">
      <formula>$A36&lt;&gt;""</formula>
    </cfRule>
  </conditionalFormatting>
  <conditionalFormatting sqref="U36">
    <cfRule type="expression" dxfId="625" priority="45">
      <formula>ISBLANK(U36)</formula>
    </cfRule>
  </conditionalFormatting>
  <conditionalFormatting sqref="U36">
    <cfRule type="expression" dxfId="624" priority="44">
      <formula>$A36&lt;&gt;""</formula>
    </cfRule>
  </conditionalFormatting>
  <conditionalFormatting sqref="A103:G104 B102:G102">
    <cfRule type="expression" dxfId="623" priority="43">
      <formula>ISBLANK(A102)</formula>
    </cfRule>
  </conditionalFormatting>
  <conditionalFormatting sqref="A103:G104 B102:G102">
    <cfRule type="expression" dxfId="622" priority="42">
      <formula>$A102&lt;&gt;""</formula>
    </cfRule>
  </conditionalFormatting>
  <conditionalFormatting sqref="A103:A104 F102:G104">
    <cfRule type="expression" dxfId="621" priority="41">
      <formula>ISBLANK(A102)</formula>
    </cfRule>
  </conditionalFormatting>
  <conditionalFormatting sqref="G102:G104">
    <cfRule type="expression" dxfId="620" priority="40">
      <formula>$A102&lt;&gt;""</formula>
    </cfRule>
  </conditionalFormatting>
  <conditionalFormatting sqref="G102:G104">
    <cfRule type="expression" dxfId="619" priority="39">
      <formula>ISBLANK(G102)</formula>
    </cfRule>
  </conditionalFormatting>
  <conditionalFormatting sqref="A102">
    <cfRule type="expression" dxfId="618" priority="35">
      <formula>ISBLANK(A102)</formula>
    </cfRule>
  </conditionalFormatting>
  <conditionalFormatting sqref="A102">
    <cfRule type="expression" dxfId="617" priority="34">
      <formula>$A102&lt;&gt;""</formula>
    </cfRule>
  </conditionalFormatting>
  <conditionalFormatting sqref="G77 G68 G46 G25 G15 G10">
    <cfRule type="expression" dxfId="616" priority="33">
      <formula>$A10&lt;&gt;""</formula>
    </cfRule>
  </conditionalFormatting>
  <conditionalFormatting sqref="G77 G68 G46 G25 G15 G10">
    <cfRule type="expression" dxfId="615" priority="32">
      <formula>ISBLANK(G10)</formula>
    </cfRule>
  </conditionalFormatting>
  <conditionalFormatting sqref="G96:G97">
    <cfRule type="expression" dxfId="614" priority="31">
      <formula>$A96&lt;&gt;""</formula>
    </cfRule>
  </conditionalFormatting>
  <conditionalFormatting sqref="G96:G97">
    <cfRule type="expression" dxfId="613" priority="30">
      <formula>ISBLANK(G96)</formula>
    </cfRule>
  </conditionalFormatting>
  <conditionalFormatting sqref="G96:G97">
    <cfRule type="expression" dxfId="612" priority="28">
      <formula>ISBLANK(G96)</formula>
    </cfRule>
    <cfRule type="expression" dxfId="611" priority="29">
      <formula>$A96&lt;&gt;""</formula>
    </cfRule>
  </conditionalFormatting>
  <conditionalFormatting sqref="G71">
    <cfRule type="expression" dxfId="610" priority="27">
      <formula>$A71&lt;&gt;""</formula>
    </cfRule>
  </conditionalFormatting>
  <conditionalFormatting sqref="G71">
    <cfRule type="expression" dxfId="609" priority="26">
      <formula>ISBLANK(G71)</formula>
    </cfRule>
  </conditionalFormatting>
  <conditionalFormatting sqref="G74">
    <cfRule type="expression" dxfId="608" priority="25">
      <formula>$A74&lt;&gt;""</formula>
    </cfRule>
  </conditionalFormatting>
  <conditionalFormatting sqref="G74">
    <cfRule type="expression" dxfId="607" priority="24">
      <formula>ISBLANK(G74)</formula>
    </cfRule>
  </conditionalFormatting>
  <conditionalFormatting sqref="G80">
    <cfRule type="expression" dxfId="606" priority="23">
      <formula>$A80&lt;&gt;""</formula>
    </cfRule>
  </conditionalFormatting>
  <conditionalFormatting sqref="G80">
    <cfRule type="expression" dxfId="605" priority="22">
      <formula>ISBLANK(G80)</formula>
    </cfRule>
  </conditionalFormatting>
  <conditionalFormatting sqref="H98:V99">
    <cfRule type="expression" dxfId="604" priority="20">
      <formula>ISBLANK(H98)</formula>
    </cfRule>
  </conditionalFormatting>
  <conditionalFormatting sqref="H98:V99">
    <cfRule type="expression" dxfId="603" priority="19">
      <formula>$A98&lt;&gt;""</formula>
    </cfRule>
  </conditionalFormatting>
  <conditionalFormatting sqref="K98:O99">
    <cfRule type="expression" dxfId="602" priority="21">
      <formula>#REF!&lt;&gt;""</formula>
    </cfRule>
  </conditionalFormatting>
  <conditionalFormatting sqref="A99:F99 B98:F98">
    <cfRule type="expression" dxfId="601" priority="18">
      <formula>$A98&lt;&gt;""</formula>
    </cfRule>
  </conditionalFormatting>
  <conditionalFormatting sqref="A99:F99 B98:F98">
    <cfRule type="expression" dxfId="600" priority="17">
      <formula>ISBLANK(A98)</formula>
    </cfRule>
  </conditionalFormatting>
  <conditionalFormatting sqref="D98:D99">
    <cfRule type="expression" dxfId="599" priority="16">
      <formula>ISBLANK(D98)</formula>
    </cfRule>
  </conditionalFormatting>
  <conditionalFormatting sqref="F98:F99">
    <cfRule type="expression" dxfId="598" priority="15">
      <formula>ISBLANK(F98)</formula>
    </cfRule>
  </conditionalFormatting>
  <conditionalFormatting sqref="G99">
    <cfRule type="expression" dxfId="597" priority="14">
      <formula>$A99&lt;&gt;""</formula>
    </cfRule>
  </conditionalFormatting>
  <conditionalFormatting sqref="G99">
    <cfRule type="expression" dxfId="596" priority="13">
      <formula>ISBLANK(G99)</formula>
    </cfRule>
  </conditionalFormatting>
  <conditionalFormatting sqref="G99">
    <cfRule type="expression" dxfId="595" priority="11">
      <formula>ISBLANK(G99)</formula>
    </cfRule>
    <cfRule type="expression" dxfId="594" priority="12">
      <formula>$A99&lt;&gt;""</formula>
    </cfRule>
  </conditionalFormatting>
  <conditionalFormatting sqref="A98">
    <cfRule type="expression" dxfId="593" priority="7">
      <formula>ISBLANK(A98)</formula>
    </cfRule>
  </conditionalFormatting>
  <conditionalFormatting sqref="A98">
    <cfRule type="expression" dxfId="592" priority="6">
      <formula>$A98&lt;&gt;""</formula>
    </cfRule>
  </conditionalFormatting>
  <conditionalFormatting sqref="G98">
    <cfRule type="expression" dxfId="591" priority="5">
      <formula>$A98&lt;&gt;""</formula>
    </cfRule>
  </conditionalFormatting>
  <conditionalFormatting sqref="G98">
    <cfRule type="expression" dxfId="590" priority="4">
      <formula>ISBLANK(G98)</formula>
    </cfRule>
  </conditionalFormatting>
  <conditionalFormatting sqref="G98">
    <cfRule type="expression" dxfId="589" priority="2">
      <formula>ISBLANK(G98)</formula>
    </cfRule>
    <cfRule type="expression" dxfId="588" priority="3">
      <formula>$A98&lt;&gt;""</formula>
    </cfRule>
  </conditionalFormatting>
  <conditionalFormatting sqref="G36">
    <cfRule type="expression" dxfId="587" priority="1">
      <formula>$A36&lt;&gt;""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E6F0F-34A6-49DE-BC68-0168E7590C31}">
  <sheetPr>
    <tabColor theme="8"/>
  </sheetPr>
  <dimension ref="A1:AA120"/>
  <sheetViews>
    <sheetView topLeftCell="A2" zoomScale="85" zoomScaleNormal="85" workbookViewId="0">
      <selection activeCell="B29" sqref="B29"/>
    </sheetView>
  </sheetViews>
  <sheetFormatPr defaultColWidth="9.140625" defaultRowHeight="15" x14ac:dyDescent="0.25"/>
  <cols>
    <col min="1" max="1" width="8.5703125" style="173" customWidth="1"/>
    <col min="2" max="2" width="13.85546875" style="173" customWidth="1"/>
    <col min="3" max="3" width="7.7109375" style="173" customWidth="1"/>
    <col min="4" max="4" width="25.7109375" style="173" customWidth="1"/>
    <col min="5" max="5" width="16.85546875" style="173" customWidth="1"/>
    <col min="6" max="6" width="15.42578125" style="173" customWidth="1"/>
    <col min="7" max="7" width="18" style="255" customWidth="1"/>
    <col min="8" max="8" width="9.140625" style="255"/>
    <col min="9" max="10" width="9" style="173" customWidth="1"/>
    <col min="11" max="11" width="9.140625" style="173" customWidth="1"/>
    <col min="12" max="12" width="13.85546875" style="173" customWidth="1"/>
    <col min="13" max="13" width="8.85546875" style="173" customWidth="1"/>
    <col min="14" max="14" width="14.42578125" style="173" customWidth="1"/>
    <col min="15" max="15" width="13.5703125" style="173" customWidth="1"/>
    <col min="16" max="17" width="4.42578125" style="173" customWidth="1"/>
    <col min="18" max="18" width="4.5703125" style="173" customWidth="1"/>
    <col min="19" max="19" width="4.28515625" style="173" customWidth="1"/>
    <col min="20" max="21" width="3.140625" style="173" customWidth="1"/>
    <col min="22" max="22" width="45.5703125" style="173" customWidth="1"/>
    <col min="23" max="16384" width="9.140625" style="173"/>
  </cols>
  <sheetData>
    <row r="1" spans="1:27" ht="15.75" thickBot="1" x14ac:dyDescent="0.3">
      <c r="P1" s="315" t="s">
        <v>664</v>
      </c>
      <c r="Q1" s="315"/>
      <c r="R1" s="315"/>
      <c r="S1" s="315"/>
      <c r="T1" s="315"/>
      <c r="U1" s="315"/>
    </row>
    <row r="2" spans="1:27" ht="60" x14ac:dyDescent="0.25">
      <c r="A2" s="178" t="s">
        <v>258</v>
      </c>
      <c r="B2" s="179" t="s">
        <v>259</v>
      </c>
      <c r="C2" s="179" t="s">
        <v>260</v>
      </c>
      <c r="D2" s="179" t="s">
        <v>261</v>
      </c>
      <c r="E2" s="180" t="s">
        <v>262</v>
      </c>
      <c r="F2" s="178" t="s">
        <v>263</v>
      </c>
      <c r="G2" s="256" t="s">
        <v>264</v>
      </c>
      <c r="H2" s="295" t="s">
        <v>265</v>
      </c>
      <c r="I2" s="181" t="s">
        <v>266</v>
      </c>
      <c r="J2" s="181" t="s">
        <v>267</v>
      </c>
      <c r="K2" s="182" t="s">
        <v>268</v>
      </c>
      <c r="L2" s="182" t="s">
        <v>269</v>
      </c>
      <c r="M2" s="183" t="s">
        <v>270</v>
      </c>
      <c r="N2" s="184" t="s">
        <v>271</v>
      </c>
      <c r="O2" s="211" t="s">
        <v>272</v>
      </c>
      <c r="P2" s="213" t="s">
        <v>665</v>
      </c>
      <c r="Q2" s="214" t="s">
        <v>666</v>
      </c>
      <c r="R2" s="214" t="s">
        <v>667</v>
      </c>
      <c r="S2" s="214" t="s">
        <v>668</v>
      </c>
      <c r="T2" s="214" t="s">
        <v>669</v>
      </c>
      <c r="U2" s="215" t="s">
        <v>670</v>
      </c>
      <c r="V2" s="212" t="s">
        <v>183</v>
      </c>
    </row>
    <row r="3" spans="1:27" ht="45" x14ac:dyDescent="0.25">
      <c r="A3" s="175" t="s">
        <v>9</v>
      </c>
      <c r="B3" s="307" t="s">
        <v>994</v>
      </c>
      <c r="C3" s="298" t="s">
        <v>958</v>
      </c>
      <c r="D3" s="252" t="s">
        <v>819</v>
      </c>
      <c r="E3" s="175" t="str">
        <f>PGI!D15</f>
        <v>IP.1</v>
      </c>
      <c r="F3" s="175" t="s">
        <v>274</v>
      </c>
      <c r="G3" s="251">
        <f>PGI!U15</f>
        <v>7.9995705658689342</v>
      </c>
      <c r="H3" s="176"/>
      <c r="I3" s="175" t="s">
        <v>333</v>
      </c>
      <c r="J3" s="175"/>
      <c r="K3" s="175"/>
      <c r="L3" s="175">
        <v>2</v>
      </c>
      <c r="M3" s="175">
        <v>1</v>
      </c>
      <c r="N3" s="175"/>
      <c r="O3" s="195"/>
      <c r="P3" s="201"/>
      <c r="Q3" s="175"/>
      <c r="R3" s="175"/>
      <c r="S3" s="175" t="s">
        <v>644</v>
      </c>
      <c r="T3" s="175"/>
      <c r="U3" s="202"/>
      <c r="V3" s="257" t="s">
        <v>869</v>
      </c>
    </row>
    <row r="4" spans="1:27" ht="30" x14ac:dyDescent="0.25">
      <c r="A4" s="175"/>
      <c r="B4" s="175"/>
      <c r="C4" s="175"/>
      <c r="D4" s="175"/>
      <c r="E4" s="175" t="str">
        <f>PGI!D19</f>
        <v>Acetone</v>
      </c>
      <c r="F4" s="175" t="s">
        <v>274</v>
      </c>
      <c r="G4" s="176">
        <f>PGI!U19</f>
        <v>13.999248490270634</v>
      </c>
      <c r="H4" s="176"/>
      <c r="I4" s="175"/>
      <c r="J4" s="175"/>
      <c r="K4" s="175"/>
      <c r="L4" s="175"/>
      <c r="M4" s="175"/>
      <c r="N4" s="175"/>
      <c r="O4" s="195"/>
      <c r="P4" s="201"/>
      <c r="Q4" s="175"/>
      <c r="R4" s="175"/>
      <c r="S4" s="175" t="s">
        <v>644</v>
      </c>
      <c r="T4" s="175"/>
      <c r="U4" s="202"/>
      <c r="V4" s="196" t="s">
        <v>554</v>
      </c>
      <c r="Z4" s="265" t="s">
        <v>881</v>
      </c>
      <c r="AA4" s="265" t="s">
        <v>882</v>
      </c>
    </row>
    <row r="5" spans="1:27" x14ac:dyDescent="0.25">
      <c r="A5" s="175"/>
      <c r="B5" s="175"/>
      <c r="C5" s="175"/>
      <c r="D5" s="175"/>
      <c r="E5" s="175"/>
      <c r="F5" s="175" t="s">
        <v>275</v>
      </c>
      <c r="G5" s="318" t="s">
        <v>997</v>
      </c>
      <c r="H5" s="176"/>
      <c r="I5" s="175"/>
      <c r="J5" s="175"/>
      <c r="K5" s="175"/>
      <c r="L5" s="175"/>
      <c r="M5" s="175"/>
      <c r="N5" s="175"/>
      <c r="O5" s="195"/>
      <c r="P5" s="201"/>
      <c r="Q5" s="175"/>
      <c r="R5" s="175"/>
      <c r="S5" s="175"/>
      <c r="T5" s="175" t="s">
        <v>644</v>
      </c>
      <c r="U5" s="202"/>
      <c r="V5" s="196"/>
      <c r="Y5" s="173" t="str">
        <f>E3</f>
        <v>IP.1</v>
      </c>
      <c r="Z5" s="255">
        <f>G3</f>
        <v>7.9995705658689342</v>
      </c>
    </row>
    <row r="6" spans="1:27" x14ac:dyDescent="0.25">
      <c r="A6" s="175"/>
      <c r="B6" s="175"/>
      <c r="C6" s="175"/>
      <c r="D6" s="175"/>
      <c r="E6" s="175"/>
      <c r="F6" s="175" t="s">
        <v>277</v>
      </c>
      <c r="G6" s="318" t="s">
        <v>998</v>
      </c>
      <c r="H6" s="176"/>
      <c r="I6" s="175"/>
      <c r="J6" s="175"/>
      <c r="K6" s="175"/>
      <c r="L6" s="175"/>
      <c r="M6" s="175"/>
      <c r="N6" s="175"/>
      <c r="O6" s="195"/>
      <c r="P6" s="201"/>
      <c r="Q6" s="175"/>
      <c r="R6" s="175"/>
      <c r="S6" s="175"/>
      <c r="T6" s="175" t="s">
        <v>644</v>
      </c>
      <c r="U6" s="202"/>
      <c r="V6" s="196"/>
      <c r="Y6" s="173" t="str">
        <f>E9</f>
        <v>Acetone</v>
      </c>
      <c r="Z6" s="255">
        <f>G9+G48</f>
        <v>133.59282845001118</v>
      </c>
    </row>
    <row r="7" spans="1:27" x14ac:dyDescent="0.25">
      <c r="A7" s="175"/>
      <c r="B7" s="175"/>
      <c r="C7" s="175"/>
      <c r="D7" s="175"/>
      <c r="E7" s="175"/>
      <c r="F7" s="175" t="s">
        <v>278</v>
      </c>
      <c r="G7" s="176" t="s">
        <v>305</v>
      </c>
      <c r="H7" s="176"/>
      <c r="I7" s="175"/>
      <c r="J7" s="175"/>
      <c r="K7" s="175"/>
      <c r="L7" s="175"/>
      <c r="M7" s="175"/>
      <c r="N7" s="175"/>
      <c r="O7" s="195"/>
      <c r="P7" s="201"/>
      <c r="Q7" s="175"/>
      <c r="R7" s="175"/>
      <c r="S7" s="175" t="s">
        <v>644</v>
      </c>
      <c r="T7" s="175"/>
      <c r="U7" s="202"/>
      <c r="V7" s="196"/>
      <c r="Y7" s="173" t="str">
        <f>E14</f>
        <v>Potassium carbonate</v>
      </c>
      <c r="Z7" s="255">
        <f>G14</f>
        <v>51.837217266830699</v>
      </c>
    </row>
    <row r="8" spans="1:27" x14ac:dyDescent="0.25">
      <c r="A8" s="175"/>
      <c r="B8" s="175"/>
      <c r="C8" s="175"/>
      <c r="D8" s="175"/>
      <c r="E8" s="175"/>
      <c r="F8" s="175" t="s">
        <v>279</v>
      </c>
      <c r="G8" s="176" t="s">
        <v>306</v>
      </c>
      <c r="H8" s="176"/>
      <c r="I8" s="175"/>
      <c r="J8" s="175"/>
      <c r="K8" s="175"/>
      <c r="L8" s="175"/>
      <c r="M8" s="175"/>
      <c r="N8" s="175"/>
      <c r="O8" s="195"/>
      <c r="P8" s="201"/>
      <c r="Q8" s="175"/>
      <c r="R8" s="175"/>
      <c r="S8" s="175"/>
      <c r="T8" s="175" t="s">
        <v>644</v>
      </c>
      <c r="U8" s="202"/>
      <c r="V8" s="196"/>
      <c r="Y8" s="173" t="str">
        <f>E24</f>
        <v>Iodoethane</v>
      </c>
      <c r="Z8" s="255">
        <f>G24</f>
        <v>19.518952180720198</v>
      </c>
    </row>
    <row r="9" spans="1:27" ht="45" x14ac:dyDescent="0.25">
      <c r="A9" s="175" t="s">
        <v>9</v>
      </c>
      <c r="B9" s="308" t="s">
        <v>996</v>
      </c>
      <c r="C9" s="298" t="s">
        <v>958</v>
      </c>
      <c r="D9" s="252" t="s">
        <v>817</v>
      </c>
      <c r="E9" s="175" t="str">
        <f>PGI!D20</f>
        <v>Acetone</v>
      </c>
      <c r="F9" s="175" t="s">
        <v>274</v>
      </c>
      <c r="G9" s="176">
        <f>PGI!U20</f>
        <v>109.59411675240439</v>
      </c>
      <c r="H9" s="176"/>
      <c r="I9" s="175" t="s">
        <v>333</v>
      </c>
      <c r="J9" s="175"/>
      <c r="K9" s="175"/>
      <c r="L9" s="175">
        <v>2</v>
      </c>
      <c r="M9" s="175">
        <v>1</v>
      </c>
      <c r="N9" s="175"/>
      <c r="O9" s="195"/>
      <c r="P9" s="201"/>
      <c r="Q9" s="175"/>
      <c r="R9" s="175"/>
      <c r="S9" s="175" t="s">
        <v>644</v>
      </c>
      <c r="T9" s="175"/>
      <c r="U9" s="202"/>
      <c r="V9" s="196" t="s">
        <v>645</v>
      </c>
      <c r="Y9" s="173" t="str">
        <f>E63</f>
        <v>Anhydrous EtOH</v>
      </c>
      <c r="Z9" s="255">
        <f>G63+G74</f>
        <v>45.997530753746375</v>
      </c>
    </row>
    <row r="10" spans="1:27" x14ac:dyDescent="0.25">
      <c r="A10" s="175"/>
      <c r="B10" s="175"/>
      <c r="C10" s="175"/>
      <c r="D10" s="175"/>
      <c r="E10" s="175"/>
      <c r="F10" s="175" t="s">
        <v>275</v>
      </c>
      <c r="G10" s="318" t="s">
        <v>999</v>
      </c>
      <c r="H10" s="176"/>
      <c r="I10" s="175"/>
      <c r="J10" s="175"/>
      <c r="K10" s="175"/>
      <c r="L10" s="175"/>
      <c r="M10" s="175"/>
      <c r="N10" s="175"/>
      <c r="O10" s="195"/>
      <c r="P10" s="201"/>
      <c r="Q10" s="175"/>
      <c r="R10" s="175"/>
      <c r="S10" s="175"/>
      <c r="T10" s="175" t="s">
        <v>644</v>
      </c>
      <c r="U10" s="202"/>
      <c r="V10" s="196"/>
    </row>
    <row r="11" spans="1:27" x14ac:dyDescent="0.25">
      <c r="A11" s="175"/>
      <c r="B11" s="175"/>
      <c r="C11" s="175"/>
      <c r="D11" s="175"/>
      <c r="E11" s="175"/>
      <c r="F11" s="175" t="s">
        <v>277</v>
      </c>
      <c r="G11" s="318" t="s">
        <v>999</v>
      </c>
      <c r="H11" s="176"/>
      <c r="I11" s="175"/>
      <c r="J11" s="175"/>
      <c r="K11" s="175"/>
      <c r="L11" s="175"/>
      <c r="M11" s="175"/>
      <c r="N11" s="175"/>
      <c r="O11" s="195"/>
      <c r="P11" s="201"/>
      <c r="Q11" s="175"/>
      <c r="R11" s="175"/>
      <c r="S11" s="175"/>
      <c r="T11" s="175" t="s">
        <v>644</v>
      </c>
      <c r="U11" s="202"/>
      <c r="V11" s="196"/>
    </row>
    <row r="12" spans="1:27" ht="45" x14ac:dyDescent="0.25">
      <c r="A12" s="175"/>
      <c r="B12" s="175"/>
      <c r="C12" s="175"/>
      <c r="D12" s="175"/>
      <c r="E12" s="175"/>
      <c r="F12" s="175" t="s">
        <v>556</v>
      </c>
      <c r="G12" s="176" t="s">
        <v>555</v>
      </c>
      <c r="H12" s="176"/>
      <c r="I12" s="175"/>
      <c r="J12" s="175"/>
      <c r="K12" s="175"/>
      <c r="L12" s="175"/>
      <c r="M12" s="175"/>
      <c r="N12" s="175"/>
      <c r="O12" s="195"/>
      <c r="P12" s="201"/>
      <c r="Q12" s="194" t="s">
        <v>644</v>
      </c>
      <c r="R12" s="175"/>
      <c r="S12" s="175"/>
      <c r="T12" s="175"/>
      <c r="U12" s="202"/>
      <c r="V12" s="196" t="s">
        <v>557</v>
      </c>
    </row>
    <row r="13" spans="1:27" x14ac:dyDescent="0.25">
      <c r="A13" s="175"/>
      <c r="B13" s="175"/>
      <c r="C13" s="175"/>
      <c r="D13" s="175"/>
      <c r="E13" s="175"/>
      <c r="F13" s="175" t="s">
        <v>279</v>
      </c>
      <c r="G13" s="176" t="s">
        <v>306</v>
      </c>
      <c r="H13" s="176"/>
      <c r="I13" s="175"/>
      <c r="J13" s="175"/>
      <c r="K13" s="175"/>
      <c r="L13" s="175"/>
      <c r="M13" s="175"/>
      <c r="N13" s="175"/>
      <c r="O13" s="195"/>
      <c r="P13" s="201"/>
      <c r="Q13" s="175"/>
      <c r="R13" s="175"/>
      <c r="S13" s="175"/>
      <c r="T13" s="175" t="s">
        <v>644</v>
      </c>
      <c r="U13" s="202"/>
      <c r="V13" s="196"/>
    </row>
    <row r="14" spans="1:27" ht="90" x14ac:dyDescent="0.25">
      <c r="A14" s="175" t="s">
        <v>9</v>
      </c>
      <c r="B14" s="307" t="s">
        <v>994</v>
      </c>
      <c r="C14" s="298" t="s">
        <v>958</v>
      </c>
      <c r="D14" s="252" t="s">
        <v>818</v>
      </c>
      <c r="E14" s="175" t="str">
        <f>PGI!D17</f>
        <v>Potassium carbonate</v>
      </c>
      <c r="F14" s="175" t="s">
        <v>274</v>
      </c>
      <c r="G14" s="176">
        <f>PGI!U17</f>
        <v>51.837217266830699</v>
      </c>
      <c r="H14" s="296">
        <f>100/4*G3</f>
        <v>199.98926414672334</v>
      </c>
      <c r="I14" s="175" t="s">
        <v>333</v>
      </c>
      <c r="J14" s="175"/>
      <c r="K14" s="175"/>
      <c r="L14" s="175">
        <v>2</v>
      </c>
      <c r="M14" s="175">
        <v>1</v>
      </c>
      <c r="N14" s="175"/>
      <c r="O14" s="195"/>
      <c r="P14" s="201"/>
      <c r="Q14" s="175"/>
      <c r="R14" s="175"/>
      <c r="S14" s="175" t="s">
        <v>644</v>
      </c>
      <c r="T14" s="175"/>
      <c r="U14" s="202"/>
      <c r="V14" s="257" t="s">
        <v>870</v>
      </c>
    </row>
    <row r="15" spans="1:27" x14ac:dyDescent="0.25">
      <c r="A15" s="175"/>
      <c r="B15" s="175"/>
      <c r="C15" s="175"/>
      <c r="D15" s="175"/>
      <c r="E15" s="175"/>
      <c r="F15" s="175" t="s">
        <v>275</v>
      </c>
      <c r="G15" s="318" t="s">
        <v>999</v>
      </c>
      <c r="H15" s="176"/>
      <c r="I15" s="175"/>
      <c r="J15" s="175"/>
      <c r="K15" s="175"/>
      <c r="L15" s="175"/>
      <c r="M15" s="175"/>
      <c r="N15" s="175"/>
      <c r="O15" s="195"/>
      <c r="P15" s="201"/>
      <c r="Q15" s="175"/>
      <c r="R15" s="175"/>
      <c r="S15" s="175"/>
      <c r="T15" s="175" t="s">
        <v>644</v>
      </c>
      <c r="U15" s="202"/>
      <c r="V15" s="196"/>
    </row>
    <row r="16" spans="1:27" x14ac:dyDescent="0.25">
      <c r="A16" s="175"/>
      <c r="B16" s="175"/>
      <c r="C16" s="175"/>
      <c r="D16" s="175"/>
      <c r="E16" s="175"/>
      <c r="F16" s="175" t="s">
        <v>281</v>
      </c>
      <c r="G16" s="253" t="s">
        <v>999</v>
      </c>
      <c r="H16" s="176"/>
      <c r="I16" s="175"/>
      <c r="J16" s="175"/>
      <c r="K16" s="175"/>
      <c r="L16" s="175"/>
      <c r="M16" s="175"/>
      <c r="N16" s="175"/>
      <c r="O16" s="195"/>
      <c r="P16" s="201"/>
      <c r="Q16" s="175"/>
      <c r="R16" s="175"/>
      <c r="S16" s="175"/>
      <c r="T16" s="175" t="s">
        <v>644</v>
      </c>
      <c r="U16" s="202"/>
      <c r="V16" s="196"/>
    </row>
    <row r="17" spans="1:22" x14ac:dyDescent="0.25">
      <c r="A17" s="175"/>
      <c r="B17" s="175"/>
      <c r="C17" s="175"/>
      <c r="D17" s="175"/>
      <c r="E17" s="175"/>
      <c r="F17" s="175" t="s">
        <v>282</v>
      </c>
      <c r="G17" s="176" t="s">
        <v>555</v>
      </c>
      <c r="H17" s="176"/>
      <c r="I17" s="175"/>
      <c r="J17" s="175"/>
      <c r="K17" s="175"/>
      <c r="L17" s="175"/>
      <c r="M17" s="175"/>
      <c r="N17" s="175"/>
      <c r="O17" s="195"/>
      <c r="P17" s="201"/>
      <c r="Q17" s="194" t="s">
        <v>644</v>
      </c>
      <c r="R17" s="175"/>
      <c r="S17" s="175" t="s">
        <v>644</v>
      </c>
      <c r="T17" s="175"/>
      <c r="U17" s="202"/>
      <c r="V17" s="196"/>
    </row>
    <row r="18" spans="1:22" ht="30" x14ac:dyDescent="0.25">
      <c r="A18" s="175"/>
      <c r="B18" s="175"/>
      <c r="C18" s="175"/>
      <c r="D18" s="175"/>
      <c r="E18" s="175"/>
      <c r="F18" s="175" t="s">
        <v>283</v>
      </c>
      <c r="G18" s="176" t="s">
        <v>528</v>
      </c>
      <c r="H18" s="176"/>
      <c r="I18" s="175"/>
      <c r="J18" s="175"/>
      <c r="K18" s="175"/>
      <c r="L18" s="175"/>
      <c r="M18" s="175"/>
      <c r="N18" s="175"/>
      <c r="O18" s="195"/>
      <c r="P18" s="201"/>
      <c r="Q18" s="175"/>
      <c r="R18" s="175"/>
      <c r="S18" s="175"/>
      <c r="T18" s="175" t="s">
        <v>644</v>
      </c>
      <c r="U18" s="202"/>
      <c r="V18" s="196" t="s">
        <v>319</v>
      </c>
    </row>
    <row r="19" spans="1:22" x14ac:dyDescent="0.25">
      <c r="A19" s="175" t="s">
        <v>320</v>
      </c>
      <c r="B19" s="175" t="s">
        <v>309</v>
      </c>
      <c r="C19" s="317" t="s">
        <v>709</v>
      </c>
      <c r="D19" s="175" t="s">
        <v>321</v>
      </c>
      <c r="E19" s="175"/>
      <c r="F19" s="175" t="s">
        <v>290</v>
      </c>
      <c r="G19" s="253" t="s">
        <v>999</v>
      </c>
      <c r="H19" s="176"/>
      <c r="I19" s="175" t="s">
        <v>333</v>
      </c>
      <c r="J19" s="175"/>
      <c r="K19" s="175"/>
      <c r="L19" s="175">
        <v>1</v>
      </c>
      <c r="M19" s="175">
        <v>1</v>
      </c>
      <c r="N19" s="175"/>
      <c r="O19" s="195"/>
      <c r="P19" s="201"/>
      <c r="Q19" s="175"/>
      <c r="R19" s="175"/>
      <c r="S19" s="175"/>
      <c r="T19" s="175" t="s">
        <v>644</v>
      </c>
      <c r="U19" s="202"/>
      <c r="V19" s="196"/>
    </row>
    <row r="20" spans="1:22" x14ac:dyDescent="0.25">
      <c r="A20" s="175"/>
      <c r="B20" s="175"/>
      <c r="C20" s="175"/>
      <c r="D20" s="175"/>
      <c r="E20" s="175"/>
      <c r="F20" s="175" t="s">
        <v>291</v>
      </c>
      <c r="G20" s="253" t="s">
        <v>999</v>
      </c>
      <c r="H20" s="176"/>
      <c r="I20" s="175"/>
      <c r="J20" s="175"/>
      <c r="K20" s="175"/>
      <c r="L20" s="175"/>
      <c r="M20" s="175"/>
      <c r="N20" s="175"/>
      <c r="O20" s="195"/>
      <c r="P20" s="201"/>
      <c r="Q20" s="175"/>
      <c r="R20" s="175"/>
      <c r="S20" s="175"/>
      <c r="T20" s="175" t="s">
        <v>644</v>
      </c>
      <c r="U20" s="202"/>
      <c r="V20" s="196"/>
    </row>
    <row r="21" spans="1:22" x14ac:dyDescent="0.25">
      <c r="A21" s="175"/>
      <c r="B21" s="175"/>
      <c r="C21" s="175"/>
      <c r="D21" s="175"/>
      <c r="E21" s="175"/>
      <c r="F21" s="175" t="s">
        <v>278</v>
      </c>
      <c r="G21" s="176">
        <v>200</v>
      </c>
      <c r="H21" s="176"/>
      <c r="I21" s="175"/>
      <c r="J21" s="175"/>
      <c r="K21" s="175"/>
      <c r="L21" s="175"/>
      <c r="M21" s="175"/>
      <c r="N21" s="175"/>
      <c r="O21" s="195"/>
      <c r="P21" s="201"/>
      <c r="Q21" s="175"/>
      <c r="R21" s="175"/>
      <c r="S21" s="175" t="s">
        <v>644</v>
      </c>
      <c r="T21" s="175"/>
      <c r="U21" s="202"/>
      <c r="V21" s="196"/>
    </row>
    <row r="22" spans="1:22" x14ac:dyDescent="0.25">
      <c r="A22" s="175"/>
      <c r="B22" s="175"/>
      <c r="C22" s="175"/>
      <c r="D22" s="175"/>
      <c r="E22" s="175"/>
      <c r="F22" s="175" t="s">
        <v>284</v>
      </c>
      <c r="G22" s="176" t="s">
        <v>558</v>
      </c>
      <c r="H22" s="176"/>
      <c r="I22" s="175"/>
      <c r="J22" s="175"/>
      <c r="K22" s="175"/>
      <c r="L22" s="175"/>
      <c r="M22" s="175"/>
      <c r="N22" s="175"/>
      <c r="O22" s="195"/>
      <c r="P22" s="201"/>
      <c r="Q22" s="175"/>
      <c r="R22" s="175"/>
      <c r="S22" s="175" t="s">
        <v>644</v>
      </c>
      <c r="T22" s="175"/>
      <c r="U22" s="202"/>
      <c r="V22" s="196"/>
    </row>
    <row r="23" spans="1:22" x14ac:dyDescent="0.25">
      <c r="A23" s="175"/>
      <c r="B23" s="175"/>
      <c r="C23" s="175"/>
      <c r="D23" s="175"/>
      <c r="E23" s="175"/>
      <c r="F23" s="175" t="s">
        <v>310</v>
      </c>
      <c r="G23" s="306" t="s">
        <v>502</v>
      </c>
      <c r="H23" s="176"/>
      <c r="I23" s="175"/>
      <c r="J23" s="175"/>
      <c r="K23" s="175"/>
      <c r="L23" s="175"/>
      <c r="M23" s="175"/>
      <c r="N23" s="175"/>
      <c r="O23" s="195"/>
      <c r="P23" s="201"/>
      <c r="Q23" s="175"/>
      <c r="R23" s="175"/>
      <c r="S23" s="175"/>
      <c r="T23" s="175" t="s">
        <v>644</v>
      </c>
      <c r="U23" s="202"/>
      <c r="V23" s="196"/>
    </row>
    <row r="24" spans="1:22" ht="45" x14ac:dyDescent="0.25">
      <c r="A24" s="175" t="s">
        <v>9</v>
      </c>
      <c r="B24" s="307" t="s">
        <v>995</v>
      </c>
      <c r="C24" s="298" t="s">
        <v>958</v>
      </c>
      <c r="D24" s="252" t="s">
        <v>816</v>
      </c>
      <c r="E24" s="175" t="str">
        <f>PGI!D18</f>
        <v>Iodoethane</v>
      </c>
      <c r="F24" s="175" t="s">
        <v>274</v>
      </c>
      <c r="G24" s="176">
        <f>PGI!U18</f>
        <v>19.518952180720198</v>
      </c>
      <c r="H24" s="176"/>
      <c r="I24" s="175" t="s">
        <v>333</v>
      </c>
      <c r="J24" s="175"/>
      <c r="K24" s="175"/>
      <c r="L24" s="175">
        <v>2</v>
      </c>
      <c r="M24" s="175">
        <v>1</v>
      </c>
      <c r="N24" s="175"/>
      <c r="O24" s="195"/>
      <c r="P24" s="201"/>
      <c r="Q24" s="175"/>
      <c r="R24" s="175"/>
      <c r="S24" s="175" t="s">
        <v>644</v>
      </c>
      <c r="T24" s="175"/>
      <c r="U24" s="202"/>
      <c r="V24" s="196"/>
    </row>
    <row r="25" spans="1:22" x14ac:dyDescent="0.25">
      <c r="A25" s="175"/>
      <c r="B25" s="175"/>
      <c r="C25" s="175"/>
      <c r="D25" s="175"/>
      <c r="E25" s="175"/>
      <c r="F25" s="175" t="s">
        <v>275</v>
      </c>
      <c r="G25" s="176" t="s">
        <v>999</v>
      </c>
      <c r="H25" s="176"/>
      <c r="I25" s="175"/>
      <c r="J25" s="175"/>
      <c r="K25" s="175"/>
      <c r="L25" s="175"/>
      <c r="M25" s="175"/>
      <c r="N25" s="175"/>
      <c r="O25" s="195"/>
      <c r="P25" s="201"/>
      <c r="Q25" s="175"/>
      <c r="R25" s="175"/>
      <c r="S25" s="175"/>
      <c r="T25" s="175" t="s">
        <v>644</v>
      </c>
      <c r="U25" s="202"/>
      <c r="V25" s="196"/>
    </row>
    <row r="26" spans="1:22" x14ac:dyDescent="0.25">
      <c r="A26" s="175"/>
      <c r="B26" s="175"/>
      <c r="C26" s="175"/>
      <c r="D26" s="175"/>
      <c r="E26" s="175"/>
      <c r="F26" s="175" t="s">
        <v>281</v>
      </c>
      <c r="G26" s="176" t="s">
        <v>999</v>
      </c>
      <c r="H26" s="176"/>
      <c r="I26" s="175"/>
      <c r="J26" s="175"/>
      <c r="K26" s="175"/>
      <c r="L26" s="175"/>
      <c r="M26" s="175"/>
      <c r="N26" s="175"/>
      <c r="O26" s="195"/>
      <c r="P26" s="201"/>
      <c r="Q26" s="175"/>
      <c r="R26" s="175"/>
      <c r="S26" s="175"/>
      <c r="T26" s="175" t="s">
        <v>644</v>
      </c>
      <c r="U26" s="202"/>
      <c r="V26" s="196"/>
    </row>
    <row r="27" spans="1:22" x14ac:dyDescent="0.25">
      <c r="A27" s="175"/>
      <c r="B27" s="175"/>
      <c r="C27" s="175"/>
      <c r="D27" s="175"/>
      <c r="E27" s="175"/>
      <c r="F27" s="175" t="s">
        <v>282</v>
      </c>
      <c r="G27" s="176" t="s">
        <v>305</v>
      </c>
      <c r="H27" s="176"/>
      <c r="I27" s="175"/>
      <c r="J27" s="175"/>
      <c r="K27" s="175"/>
      <c r="L27" s="175"/>
      <c r="M27" s="175"/>
      <c r="N27" s="175"/>
      <c r="O27" s="195"/>
      <c r="P27" s="201"/>
      <c r="Q27" s="175"/>
      <c r="R27" s="175"/>
      <c r="S27" s="175" t="s">
        <v>644</v>
      </c>
      <c r="T27" s="175"/>
      <c r="U27" s="202"/>
      <c r="V27" s="196"/>
    </row>
    <row r="28" spans="1:22" x14ac:dyDescent="0.25">
      <c r="A28" s="175"/>
      <c r="B28" s="175"/>
      <c r="C28" s="175"/>
      <c r="D28" s="175"/>
      <c r="E28" s="175"/>
      <c r="F28" s="175" t="s">
        <v>283</v>
      </c>
      <c r="G28" s="176" t="s">
        <v>318</v>
      </c>
      <c r="H28" s="176"/>
      <c r="I28" s="175"/>
      <c r="J28" s="175"/>
      <c r="K28" s="175"/>
      <c r="L28" s="175"/>
      <c r="M28" s="175"/>
      <c r="N28" s="175"/>
      <c r="O28" s="195"/>
      <c r="P28" s="201"/>
      <c r="Q28" s="175"/>
      <c r="R28" s="175"/>
      <c r="S28" s="175"/>
      <c r="T28" s="175" t="s">
        <v>644</v>
      </c>
      <c r="U28" s="202"/>
      <c r="V28" s="196"/>
    </row>
    <row r="29" spans="1:22" ht="30" x14ac:dyDescent="0.25">
      <c r="A29" s="175" t="s">
        <v>9</v>
      </c>
      <c r="B29" s="317" t="s">
        <v>338</v>
      </c>
      <c r="C29" s="193" t="s">
        <v>709</v>
      </c>
      <c r="D29" s="252" t="s">
        <v>812</v>
      </c>
      <c r="E29" s="175"/>
      <c r="F29" s="175" t="s">
        <v>290</v>
      </c>
      <c r="G29" s="176" t="s">
        <v>1000</v>
      </c>
      <c r="H29" s="176"/>
      <c r="I29" s="175" t="s">
        <v>333</v>
      </c>
      <c r="J29" s="175"/>
      <c r="K29" s="175"/>
      <c r="L29" s="175">
        <v>1</v>
      </c>
      <c r="M29" s="175">
        <v>1</v>
      </c>
      <c r="N29" s="175"/>
      <c r="O29" s="195"/>
      <c r="P29" s="201"/>
      <c r="Q29" s="175"/>
      <c r="R29" s="175"/>
      <c r="S29" s="175" t="s">
        <v>644</v>
      </c>
      <c r="T29" s="175"/>
      <c r="U29" s="202"/>
      <c r="V29" s="196"/>
    </row>
    <row r="30" spans="1:22" ht="30" x14ac:dyDescent="0.25">
      <c r="A30" s="175"/>
      <c r="B30" s="175"/>
      <c r="C30" s="175"/>
      <c r="D30" s="175"/>
      <c r="E30" s="175"/>
      <c r="F30" s="175" t="s">
        <v>291</v>
      </c>
      <c r="G30" s="176" t="s">
        <v>1001</v>
      </c>
      <c r="H30" s="176"/>
      <c r="I30" s="175"/>
      <c r="J30" s="175"/>
      <c r="K30" s="175"/>
      <c r="L30" s="175"/>
      <c r="M30" s="175"/>
      <c r="N30" s="175"/>
      <c r="O30" s="195"/>
      <c r="P30" s="201"/>
      <c r="Q30" s="175"/>
      <c r="R30" s="175"/>
      <c r="S30" s="175"/>
      <c r="T30" s="175" t="s">
        <v>644</v>
      </c>
      <c r="U30" s="202"/>
      <c r="V30" s="196" t="s">
        <v>646</v>
      </c>
    </row>
    <row r="31" spans="1:22" ht="75" x14ac:dyDescent="0.25">
      <c r="A31" s="175"/>
      <c r="B31" s="175"/>
      <c r="C31" s="175"/>
      <c r="D31" s="175"/>
      <c r="E31" s="175"/>
      <c r="F31" s="175" t="s">
        <v>292</v>
      </c>
      <c r="G31" s="253" t="s">
        <v>823</v>
      </c>
      <c r="H31" s="176"/>
      <c r="I31" s="175"/>
      <c r="J31" s="175"/>
      <c r="K31" s="175"/>
      <c r="L31" s="175"/>
      <c r="M31" s="175"/>
      <c r="N31" s="175"/>
      <c r="O31" s="195"/>
      <c r="P31" s="201"/>
      <c r="Q31" s="175"/>
      <c r="R31" s="175"/>
      <c r="S31" s="175"/>
      <c r="T31" s="175" t="s">
        <v>644</v>
      </c>
      <c r="U31" s="202"/>
      <c r="V31" s="196"/>
    </row>
    <row r="32" spans="1:22" ht="30" x14ac:dyDescent="0.25">
      <c r="A32" s="175"/>
      <c r="B32" s="175"/>
      <c r="C32" s="175"/>
      <c r="D32" s="175"/>
      <c r="E32" s="175"/>
      <c r="F32" s="175" t="s">
        <v>278</v>
      </c>
      <c r="G32" s="176" t="s">
        <v>322</v>
      </c>
      <c r="H32" s="176"/>
      <c r="I32" s="175"/>
      <c r="J32" s="175"/>
      <c r="K32" s="175"/>
      <c r="L32" s="175"/>
      <c r="M32" s="175"/>
      <c r="N32" s="175"/>
      <c r="O32" s="195"/>
      <c r="P32" s="201"/>
      <c r="Q32" s="175"/>
      <c r="R32" s="175"/>
      <c r="S32" s="175"/>
      <c r="T32" s="175" t="s">
        <v>644</v>
      </c>
      <c r="U32" s="202"/>
      <c r="V32" s="196" t="s">
        <v>324</v>
      </c>
    </row>
    <row r="33" spans="1:22" ht="30" x14ac:dyDescent="0.25">
      <c r="A33" s="175" t="s">
        <v>9</v>
      </c>
      <c r="B33" s="175" t="s">
        <v>309</v>
      </c>
      <c r="C33" s="193" t="s">
        <v>709</v>
      </c>
      <c r="D33" s="252" t="s">
        <v>813</v>
      </c>
      <c r="E33" s="175"/>
      <c r="F33" s="175" t="s">
        <v>290</v>
      </c>
      <c r="G33" s="176" t="s">
        <v>1000</v>
      </c>
      <c r="H33" s="176"/>
      <c r="I33" s="175" t="s">
        <v>333</v>
      </c>
      <c r="J33" s="175"/>
      <c r="K33" s="175"/>
      <c r="L33" s="175">
        <v>1</v>
      </c>
      <c r="M33" s="175" t="s">
        <v>335</v>
      </c>
      <c r="N33" s="175"/>
      <c r="O33" s="195"/>
      <c r="P33" s="201"/>
      <c r="Q33" s="175"/>
      <c r="R33" s="175"/>
      <c r="S33" s="175" t="s">
        <v>644</v>
      </c>
      <c r="T33" s="175"/>
      <c r="U33" s="202"/>
      <c r="V33" s="196" t="s">
        <v>561</v>
      </c>
    </row>
    <row r="34" spans="1:22" ht="30" x14ac:dyDescent="0.25">
      <c r="A34" s="175"/>
      <c r="B34" s="175"/>
      <c r="C34" s="175"/>
      <c r="D34" s="175"/>
      <c r="E34" s="175"/>
      <c r="F34" s="175" t="s">
        <v>291</v>
      </c>
      <c r="G34" s="176" t="s">
        <v>1001</v>
      </c>
      <c r="H34" s="176"/>
      <c r="I34" s="175"/>
      <c r="J34" s="175"/>
      <c r="K34" s="175"/>
      <c r="L34" s="175"/>
      <c r="M34" s="175"/>
      <c r="N34" s="175"/>
      <c r="O34" s="195"/>
      <c r="P34" s="201"/>
      <c r="Q34" s="175"/>
      <c r="R34" s="175"/>
      <c r="S34" s="175"/>
      <c r="T34" s="175" t="s">
        <v>644</v>
      </c>
      <c r="U34" s="202"/>
      <c r="V34" s="196" t="s">
        <v>562</v>
      </c>
    </row>
    <row r="35" spans="1:22" x14ac:dyDescent="0.25">
      <c r="A35" s="175"/>
      <c r="B35" s="175"/>
      <c r="C35" s="175"/>
      <c r="D35" s="175"/>
      <c r="E35" s="175"/>
      <c r="F35" s="175" t="s">
        <v>278</v>
      </c>
      <c r="G35" s="176">
        <v>200</v>
      </c>
      <c r="H35" s="176"/>
      <c r="I35" s="175"/>
      <c r="J35" s="175"/>
      <c r="K35" s="175"/>
      <c r="L35" s="175"/>
      <c r="M35" s="175"/>
      <c r="N35" s="175"/>
      <c r="O35" s="195"/>
      <c r="P35" s="201"/>
      <c r="Q35" s="175"/>
      <c r="R35" s="175"/>
      <c r="S35" s="175" t="s">
        <v>644</v>
      </c>
      <c r="T35" s="175"/>
      <c r="U35" s="202"/>
      <c r="V35" s="196"/>
    </row>
    <row r="36" spans="1:22" x14ac:dyDescent="0.25">
      <c r="A36" s="175"/>
      <c r="B36" s="175"/>
      <c r="C36" s="175"/>
      <c r="D36" s="175"/>
      <c r="E36" s="175"/>
      <c r="F36" s="175" t="s">
        <v>284</v>
      </c>
      <c r="G36" s="176" t="s">
        <v>325</v>
      </c>
      <c r="H36" s="176"/>
      <c r="I36" s="175"/>
      <c r="J36" s="175"/>
      <c r="K36" s="175"/>
      <c r="L36" s="175"/>
      <c r="M36" s="175"/>
      <c r="N36" s="175"/>
      <c r="O36" s="195"/>
      <c r="P36" s="201"/>
      <c r="Q36" s="175"/>
      <c r="R36" s="175"/>
      <c r="S36" s="175" t="s">
        <v>644</v>
      </c>
      <c r="T36" s="175"/>
      <c r="U36" s="202"/>
      <c r="V36" s="196"/>
    </row>
    <row r="37" spans="1:22" x14ac:dyDescent="0.25">
      <c r="A37" s="175"/>
      <c r="B37" s="175"/>
      <c r="C37" s="175"/>
      <c r="D37" s="175"/>
      <c r="E37" s="175"/>
      <c r="F37" s="175" t="s">
        <v>310</v>
      </c>
      <c r="G37" s="176" t="s">
        <v>559</v>
      </c>
      <c r="H37" s="176"/>
      <c r="I37" s="175"/>
      <c r="J37" s="175"/>
      <c r="K37" s="175"/>
      <c r="L37" s="175"/>
      <c r="M37" s="175"/>
      <c r="N37" s="175"/>
      <c r="O37" s="195"/>
      <c r="P37" s="201"/>
      <c r="Q37" s="175"/>
      <c r="R37" s="175"/>
      <c r="S37" s="175"/>
      <c r="T37" s="175" t="s">
        <v>644</v>
      </c>
      <c r="U37" s="202"/>
      <c r="V37" s="196" t="s">
        <v>560</v>
      </c>
    </row>
    <row r="38" spans="1:22" ht="30" x14ac:dyDescent="0.25">
      <c r="A38" s="175" t="s">
        <v>9</v>
      </c>
      <c r="B38" s="191" t="s">
        <v>315</v>
      </c>
      <c r="C38" s="305" t="s">
        <v>709</v>
      </c>
      <c r="D38" s="191" t="s">
        <v>647</v>
      </c>
      <c r="E38" s="175"/>
      <c r="F38" s="175" t="s">
        <v>312</v>
      </c>
      <c r="G38" s="306" t="s">
        <v>502</v>
      </c>
      <c r="H38" s="176"/>
      <c r="I38" s="175" t="s">
        <v>333</v>
      </c>
      <c r="J38" s="175"/>
      <c r="K38" s="175"/>
      <c r="L38" s="175">
        <v>1</v>
      </c>
      <c r="M38" s="175">
        <v>3</v>
      </c>
      <c r="N38" s="175"/>
      <c r="O38" s="195"/>
      <c r="P38" s="201"/>
      <c r="Q38" s="175"/>
      <c r="R38" s="175"/>
      <c r="S38" s="175"/>
      <c r="T38" s="175" t="s">
        <v>644</v>
      </c>
      <c r="U38" s="202"/>
      <c r="V38" s="196" t="s">
        <v>648</v>
      </c>
    </row>
    <row r="39" spans="1:22" x14ac:dyDescent="0.25">
      <c r="A39" s="175"/>
      <c r="B39" s="175"/>
      <c r="C39" s="175"/>
      <c r="D39" s="175"/>
      <c r="E39" s="175"/>
      <c r="F39" s="175" t="s">
        <v>313</v>
      </c>
      <c r="G39" s="176" t="s">
        <v>649</v>
      </c>
      <c r="H39" s="176"/>
      <c r="I39" s="175"/>
      <c r="J39" s="175"/>
      <c r="K39" s="175"/>
      <c r="L39" s="175"/>
      <c r="M39" s="175"/>
      <c r="N39" s="175"/>
      <c r="O39" s="195"/>
      <c r="P39" s="201"/>
      <c r="Q39" s="175"/>
      <c r="R39" s="175"/>
      <c r="S39" s="175" t="s">
        <v>644</v>
      </c>
      <c r="T39" s="175"/>
      <c r="U39" s="202"/>
      <c r="V39" s="196" t="s">
        <v>650</v>
      </c>
    </row>
    <row r="40" spans="1:22" ht="45" x14ac:dyDescent="0.25">
      <c r="A40" s="175"/>
      <c r="B40" s="175"/>
      <c r="C40" s="175"/>
      <c r="D40" s="175"/>
      <c r="E40" s="175"/>
      <c r="F40" s="175" t="s">
        <v>314</v>
      </c>
      <c r="G40" s="176" t="s">
        <v>651</v>
      </c>
      <c r="H40" s="176"/>
      <c r="I40" s="175"/>
      <c r="J40" s="175"/>
      <c r="K40" s="175"/>
      <c r="L40" s="175"/>
      <c r="M40" s="175"/>
      <c r="N40" s="175"/>
      <c r="O40" s="195"/>
      <c r="P40" s="201"/>
      <c r="Q40" s="175"/>
      <c r="R40" s="175"/>
      <c r="S40" s="175"/>
      <c r="T40" s="175" t="s">
        <v>644</v>
      </c>
      <c r="U40" s="202"/>
      <c r="V40" s="196" t="s">
        <v>652</v>
      </c>
    </row>
    <row r="41" spans="1:22" ht="30" x14ac:dyDescent="0.25">
      <c r="A41" s="175" t="s">
        <v>9</v>
      </c>
      <c r="B41" s="175" t="s">
        <v>285</v>
      </c>
      <c r="C41" s="193" t="s">
        <v>709</v>
      </c>
      <c r="D41" s="252" t="s">
        <v>564</v>
      </c>
      <c r="E41" s="175"/>
      <c r="F41" s="175" t="s">
        <v>290</v>
      </c>
      <c r="G41" s="176" t="s">
        <v>999</v>
      </c>
      <c r="H41" s="176"/>
      <c r="I41" s="175" t="s">
        <v>333</v>
      </c>
      <c r="J41" s="175"/>
      <c r="K41" s="175"/>
      <c r="L41" s="175">
        <v>1</v>
      </c>
      <c r="M41" s="175">
        <v>3</v>
      </c>
      <c r="N41" s="175"/>
      <c r="O41" s="195"/>
      <c r="P41" s="201"/>
      <c r="Q41" s="175"/>
      <c r="R41" s="175"/>
      <c r="S41" s="175"/>
      <c r="T41" s="175" t="s">
        <v>644</v>
      </c>
      <c r="U41" s="202"/>
      <c r="V41" s="196"/>
    </row>
    <row r="42" spans="1:22" x14ac:dyDescent="0.25">
      <c r="A42" s="175"/>
      <c r="B42" s="175"/>
      <c r="C42" s="175"/>
      <c r="D42" s="175"/>
      <c r="E42" s="175"/>
      <c r="F42" s="175" t="s">
        <v>291</v>
      </c>
      <c r="G42" s="176" t="s">
        <v>999</v>
      </c>
      <c r="H42" s="176"/>
      <c r="I42" s="175"/>
      <c r="J42" s="175"/>
      <c r="K42" s="175"/>
      <c r="L42" s="175"/>
      <c r="M42" s="175"/>
      <c r="N42" s="175"/>
      <c r="O42" s="195"/>
      <c r="P42" s="201"/>
      <c r="Q42" s="175"/>
      <c r="R42" s="175"/>
      <c r="S42" s="175" t="s">
        <v>644</v>
      </c>
      <c r="T42" s="175"/>
      <c r="U42" s="202"/>
      <c r="V42" s="196"/>
    </row>
    <row r="43" spans="1:22" ht="75" x14ac:dyDescent="0.25">
      <c r="A43" s="175"/>
      <c r="B43" s="175"/>
      <c r="C43" s="175"/>
      <c r="D43" s="175"/>
      <c r="E43" s="175"/>
      <c r="F43" s="175" t="s">
        <v>292</v>
      </c>
      <c r="G43" s="253" t="s">
        <v>954</v>
      </c>
      <c r="H43" s="176"/>
      <c r="I43" s="175"/>
      <c r="J43" s="175"/>
      <c r="K43" s="175"/>
      <c r="L43" s="175"/>
      <c r="M43" s="175"/>
      <c r="N43" s="175"/>
      <c r="O43" s="195"/>
      <c r="P43" s="201"/>
      <c r="Q43" s="175"/>
      <c r="R43" s="175"/>
      <c r="S43" s="175"/>
      <c r="T43" s="175" t="s">
        <v>644</v>
      </c>
      <c r="U43" s="202"/>
      <c r="V43" s="196"/>
    </row>
    <row r="44" spans="1:22" x14ac:dyDescent="0.25">
      <c r="A44" s="175"/>
      <c r="B44" s="175"/>
      <c r="C44" s="175"/>
      <c r="D44" s="175"/>
      <c r="E44" s="175"/>
      <c r="F44" s="175" t="s">
        <v>278</v>
      </c>
      <c r="G44" s="176">
        <v>200</v>
      </c>
      <c r="H44" s="176"/>
      <c r="I44" s="175"/>
      <c r="J44" s="175"/>
      <c r="K44" s="175"/>
      <c r="L44" s="175"/>
      <c r="M44" s="175"/>
      <c r="N44" s="175"/>
      <c r="O44" s="195"/>
      <c r="P44" s="201"/>
      <c r="Q44" s="175"/>
      <c r="R44" s="175"/>
      <c r="S44" s="175" t="s">
        <v>644</v>
      </c>
      <c r="T44" s="175"/>
      <c r="U44" s="202"/>
      <c r="V44" s="196"/>
    </row>
    <row r="45" spans="1:22" x14ac:dyDescent="0.25">
      <c r="A45" s="175"/>
      <c r="B45" s="175"/>
      <c r="C45" s="175"/>
      <c r="D45" s="175"/>
      <c r="E45" s="175"/>
      <c r="F45" s="175" t="s">
        <v>310</v>
      </c>
      <c r="G45" s="176" t="s">
        <v>311</v>
      </c>
      <c r="H45" s="176"/>
      <c r="I45" s="175"/>
      <c r="J45" s="175"/>
      <c r="K45" s="175"/>
      <c r="L45" s="175"/>
      <c r="M45" s="175"/>
      <c r="N45" s="175"/>
      <c r="O45" s="195"/>
      <c r="P45" s="201"/>
      <c r="Q45" s="175"/>
      <c r="R45" s="175"/>
      <c r="S45" s="175"/>
      <c r="T45" s="175" t="s">
        <v>644</v>
      </c>
      <c r="U45" s="202"/>
      <c r="V45" s="196"/>
    </row>
    <row r="46" spans="1:22" ht="120" x14ac:dyDescent="0.25">
      <c r="A46" s="175" t="s">
        <v>9</v>
      </c>
      <c r="B46" s="175" t="s">
        <v>286</v>
      </c>
      <c r="C46" s="305" t="s">
        <v>959</v>
      </c>
      <c r="D46" s="252" t="s">
        <v>814</v>
      </c>
      <c r="E46" s="175"/>
      <c r="F46" s="175" t="s">
        <v>295</v>
      </c>
      <c r="G46" s="176" t="s">
        <v>297</v>
      </c>
      <c r="H46" s="176"/>
      <c r="I46" s="175" t="s">
        <v>565</v>
      </c>
      <c r="J46" s="175"/>
      <c r="K46" s="175"/>
      <c r="L46" s="175">
        <v>2</v>
      </c>
      <c r="M46" s="175">
        <v>3</v>
      </c>
      <c r="N46" s="175"/>
      <c r="O46" s="195"/>
      <c r="P46" s="201"/>
      <c r="Q46" s="175"/>
      <c r="R46" s="175"/>
      <c r="S46" s="175"/>
      <c r="T46" s="175" t="s">
        <v>644</v>
      </c>
      <c r="U46" s="202"/>
      <c r="V46" s="196" t="s">
        <v>566</v>
      </c>
    </row>
    <row r="47" spans="1:22" x14ac:dyDescent="0.25">
      <c r="A47" s="175"/>
      <c r="B47" s="175"/>
      <c r="C47" s="175"/>
      <c r="D47" s="175"/>
      <c r="E47" s="175"/>
      <c r="F47" s="175" t="s">
        <v>296</v>
      </c>
      <c r="G47" s="176" t="s">
        <v>298</v>
      </c>
      <c r="H47" s="176"/>
      <c r="I47" s="175"/>
      <c r="J47" s="175"/>
      <c r="K47" s="175"/>
      <c r="L47" s="175"/>
      <c r="M47" s="175"/>
      <c r="N47" s="175"/>
      <c r="O47" s="195"/>
      <c r="P47" s="201"/>
      <c r="Q47" s="175"/>
      <c r="R47" s="175"/>
      <c r="S47" s="175"/>
      <c r="T47" s="175" t="s">
        <v>644</v>
      </c>
      <c r="U47" s="202"/>
      <c r="V47" s="196" t="s">
        <v>563</v>
      </c>
    </row>
    <row r="48" spans="1:22" ht="75" x14ac:dyDescent="0.25">
      <c r="A48" s="175" t="s">
        <v>9</v>
      </c>
      <c r="B48" s="175" t="s">
        <v>293</v>
      </c>
      <c r="C48" s="304" t="s">
        <v>960</v>
      </c>
      <c r="D48" s="292" t="s">
        <v>942</v>
      </c>
      <c r="E48" s="252" t="str">
        <f>PGI!D21</f>
        <v>Acetone</v>
      </c>
      <c r="F48" s="175" t="s">
        <v>274</v>
      </c>
      <c r="G48" s="176">
        <f>PGI!U21</f>
        <v>23.998711697606801</v>
      </c>
      <c r="H48" s="176"/>
      <c r="I48" s="175" t="s">
        <v>565</v>
      </c>
      <c r="J48" s="175"/>
      <c r="K48" s="175"/>
      <c r="L48" s="175">
        <v>2</v>
      </c>
      <c r="M48" s="175">
        <v>3</v>
      </c>
      <c r="N48" s="175"/>
      <c r="O48" s="195"/>
      <c r="P48" s="201"/>
      <c r="Q48" s="175"/>
      <c r="R48" s="175"/>
      <c r="S48" s="175"/>
      <c r="T48" s="175"/>
      <c r="U48" s="202"/>
      <c r="V48" s="196" t="s">
        <v>567</v>
      </c>
    </row>
    <row r="49" spans="1:22" ht="60" x14ac:dyDescent="0.25">
      <c r="A49" s="175"/>
      <c r="B49" s="175"/>
      <c r="C49" s="175"/>
      <c r="D49" s="175"/>
      <c r="E49" s="175"/>
      <c r="F49" s="175" t="s">
        <v>294</v>
      </c>
      <c r="G49" s="253" t="s">
        <v>999</v>
      </c>
      <c r="H49" s="176"/>
      <c r="I49" s="175"/>
      <c r="J49" s="175"/>
      <c r="K49" s="175"/>
      <c r="L49" s="175"/>
      <c r="M49" s="175"/>
      <c r="N49" s="175"/>
      <c r="O49" s="195"/>
      <c r="P49" s="201"/>
      <c r="Q49" s="175"/>
      <c r="R49" s="175"/>
      <c r="S49" s="175"/>
      <c r="T49" s="175"/>
      <c r="U49" s="202"/>
      <c r="V49" s="196" t="s">
        <v>568</v>
      </c>
    </row>
    <row r="50" spans="1:22" ht="45" x14ac:dyDescent="0.25">
      <c r="A50" s="175"/>
      <c r="B50" s="175"/>
      <c r="C50" s="175"/>
      <c r="D50" s="175"/>
      <c r="E50" s="175"/>
      <c r="F50" s="175" t="s">
        <v>278</v>
      </c>
      <c r="G50" s="176" t="s">
        <v>322</v>
      </c>
      <c r="H50" s="176"/>
      <c r="I50" s="175"/>
      <c r="J50" s="175"/>
      <c r="K50" s="175"/>
      <c r="L50" s="175"/>
      <c r="M50" s="175"/>
      <c r="N50" s="175"/>
      <c r="O50" s="195"/>
      <c r="P50" s="201"/>
      <c r="Q50" s="175"/>
      <c r="R50" s="175"/>
      <c r="S50" s="175"/>
      <c r="T50" s="175"/>
      <c r="U50" s="202"/>
      <c r="V50" s="196" t="s">
        <v>570</v>
      </c>
    </row>
    <row r="51" spans="1:22" ht="75" x14ac:dyDescent="0.25">
      <c r="A51" s="175" t="s">
        <v>9</v>
      </c>
      <c r="B51" s="307" t="s">
        <v>995</v>
      </c>
      <c r="C51" s="298" t="s">
        <v>958</v>
      </c>
      <c r="D51" s="252" t="s">
        <v>820</v>
      </c>
      <c r="E51" s="252" t="str">
        <f>PGI!D22</f>
        <v>Water</v>
      </c>
      <c r="F51" s="175" t="s">
        <v>274</v>
      </c>
      <c r="G51" s="176">
        <f>PGI!U22</f>
        <v>49.997316036680836</v>
      </c>
      <c r="H51" s="176"/>
      <c r="I51" s="175" t="s">
        <v>333</v>
      </c>
      <c r="J51" s="175"/>
      <c r="K51" s="175"/>
      <c r="L51" s="175">
        <v>1</v>
      </c>
      <c r="M51" s="175">
        <v>3</v>
      </c>
      <c r="N51" s="175"/>
      <c r="O51" s="195"/>
      <c r="P51" s="201"/>
      <c r="Q51" s="175"/>
      <c r="R51" s="175"/>
      <c r="S51" s="175"/>
      <c r="T51" s="175"/>
      <c r="U51" s="202"/>
      <c r="V51" s="196"/>
    </row>
    <row r="52" spans="1:22" x14ac:dyDescent="0.25">
      <c r="A52" s="175"/>
      <c r="B52" s="175"/>
      <c r="C52" s="175"/>
      <c r="D52" s="175"/>
      <c r="E52" s="175"/>
      <c r="F52" s="175" t="s">
        <v>275</v>
      </c>
      <c r="G52" s="176" t="s">
        <v>999</v>
      </c>
      <c r="H52" s="176"/>
      <c r="I52" s="175"/>
      <c r="J52" s="175"/>
      <c r="K52" s="175"/>
      <c r="L52" s="175"/>
      <c r="M52" s="175"/>
      <c r="N52" s="175"/>
      <c r="O52" s="195"/>
      <c r="P52" s="201"/>
      <c r="Q52" s="175"/>
      <c r="R52" s="175"/>
      <c r="S52" s="175"/>
      <c r="T52" s="175"/>
      <c r="U52" s="202"/>
      <c r="V52" s="196"/>
    </row>
    <row r="53" spans="1:22" x14ac:dyDescent="0.25">
      <c r="A53" s="175"/>
      <c r="B53" s="175"/>
      <c r="C53" s="175"/>
      <c r="D53" s="175"/>
      <c r="E53" s="175"/>
      <c r="F53" s="175" t="s">
        <v>277</v>
      </c>
      <c r="G53" s="176" t="s">
        <v>999</v>
      </c>
      <c r="H53" s="176"/>
      <c r="I53" s="175"/>
      <c r="J53" s="175"/>
      <c r="K53" s="175"/>
      <c r="L53" s="175"/>
      <c r="M53" s="175"/>
      <c r="N53" s="175"/>
      <c r="O53" s="195"/>
      <c r="P53" s="201"/>
      <c r="Q53" s="175"/>
      <c r="R53" s="175"/>
      <c r="S53" s="175"/>
      <c r="T53" s="175"/>
      <c r="U53" s="202"/>
      <c r="V53" s="196"/>
    </row>
    <row r="54" spans="1:22" ht="60" x14ac:dyDescent="0.25">
      <c r="A54" s="175"/>
      <c r="B54" s="175"/>
      <c r="C54" s="175"/>
      <c r="D54" s="175"/>
      <c r="E54" s="175"/>
      <c r="F54" s="175" t="s">
        <v>278</v>
      </c>
      <c r="G54" s="176" t="s">
        <v>653</v>
      </c>
      <c r="H54" s="176"/>
      <c r="I54" s="175"/>
      <c r="J54" s="175"/>
      <c r="K54" s="175"/>
      <c r="L54" s="175"/>
      <c r="M54" s="175"/>
      <c r="N54" s="175"/>
      <c r="O54" s="195"/>
      <c r="P54" s="201"/>
      <c r="Q54" s="175"/>
      <c r="R54" s="175"/>
      <c r="S54" s="175"/>
      <c r="T54" s="175"/>
      <c r="U54" s="202"/>
      <c r="V54" s="196"/>
    </row>
    <row r="55" spans="1:22" x14ac:dyDescent="0.25">
      <c r="A55" s="175"/>
      <c r="B55" s="175"/>
      <c r="C55" s="175"/>
      <c r="D55" s="175"/>
      <c r="E55" s="175"/>
      <c r="F55" s="175" t="s">
        <v>279</v>
      </c>
      <c r="G55" s="176" t="s">
        <v>306</v>
      </c>
      <c r="H55" s="176"/>
      <c r="I55" s="175"/>
      <c r="J55" s="175"/>
      <c r="K55" s="175"/>
      <c r="L55" s="175"/>
      <c r="M55" s="175"/>
      <c r="N55" s="175"/>
      <c r="O55" s="195"/>
      <c r="P55" s="201"/>
      <c r="Q55" s="175"/>
      <c r="R55" s="175"/>
      <c r="S55" s="175"/>
      <c r="T55" s="175"/>
      <c r="U55" s="202"/>
      <c r="V55" s="196"/>
    </row>
    <row r="56" spans="1:22" ht="60" x14ac:dyDescent="0.25">
      <c r="A56" s="175" t="s">
        <v>9</v>
      </c>
      <c r="B56" s="190" t="s">
        <v>659</v>
      </c>
      <c r="C56" s="193" t="s">
        <v>709</v>
      </c>
      <c r="D56" s="175" t="s">
        <v>654</v>
      </c>
      <c r="E56" s="175"/>
      <c r="F56" s="175"/>
      <c r="G56" s="176"/>
      <c r="H56" s="176"/>
      <c r="I56" s="175"/>
      <c r="J56" s="175"/>
      <c r="K56" s="175"/>
      <c r="L56" s="175"/>
      <c r="M56" s="175"/>
      <c r="N56" s="175"/>
      <c r="O56" s="195"/>
      <c r="P56" s="201"/>
      <c r="Q56" s="175"/>
      <c r="R56" s="175"/>
      <c r="S56" s="175"/>
      <c r="T56" s="175"/>
      <c r="U56" s="202"/>
      <c r="V56" s="196"/>
    </row>
    <row r="57" spans="1:22" ht="75" x14ac:dyDescent="0.25">
      <c r="A57" s="175" t="s">
        <v>9</v>
      </c>
      <c r="B57" s="175" t="s">
        <v>299</v>
      </c>
      <c r="C57" s="298" t="s">
        <v>959</v>
      </c>
      <c r="D57" s="252" t="s">
        <v>815</v>
      </c>
      <c r="E57" s="175"/>
      <c r="F57" s="175" t="s">
        <v>290</v>
      </c>
      <c r="G57" s="176" t="s">
        <v>1000</v>
      </c>
      <c r="H57" s="176"/>
      <c r="I57" s="175" t="s">
        <v>333</v>
      </c>
      <c r="J57" s="175"/>
      <c r="K57" s="175"/>
      <c r="L57" s="175">
        <v>1</v>
      </c>
      <c r="M57" s="243" t="s">
        <v>336</v>
      </c>
      <c r="N57" s="175"/>
      <c r="O57" s="195"/>
      <c r="P57" s="201"/>
      <c r="Q57" s="175"/>
      <c r="R57" s="175"/>
      <c r="S57" s="175"/>
      <c r="T57" s="175"/>
      <c r="U57" s="202"/>
      <c r="V57" s="196"/>
    </row>
    <row r="58" spans="1:22" x14ac:dyDescent="0.25">
      <c r="A58" s="175"/>
      <c r="B58" s="175"/>
      <c r="C58" s="175"/>
      <c r="D58" s="175"/>
      <c r="E58" s="175"/>
      <c r="F58" s="175" t="s">
        <v>291</v>
      </c>
      <c r="G58" s="176" t="s">
        <v>1002</v>
      </c>
      <c r="H58" s="176"/>
      <c r="I58" s="175"/>
      <c r="J58" s="175"/>
      <c r="K58" s="175"/>
      <c r="L58" s="175"/>
      <c r="M58" s="175"/>
      <c r="N58" s="175"/>
      <c r="O58" s="195"/>
      <c r="P58" s="201"/>
      <c r="Q58" s="175"/>
      <c r="R58" s="175"/>
      <c r="S58" s="175"/>
      <c r="T58" s="175"/>
      <c r="U58" s="202"/>
      <c r="V58" s="196"/>
    </row>
    <row r="59" spans="1:22" ht="30" x14ac:dyDescent="0.25">
      <c r="A59" s="175"/>
      <c r="B59" s="175"/>
      <c r="C59" s="175"/>
      <c r="D59" s="175"/>
      <c r="E59" s="175"/>
      <c r="F59" s="175" t="s">
        <v>300</v>
      </c>
      <c r="G59" s="253" t="s">
        <v>824</v>
      </c>
      <c r="H59" s="176"/>
      <c r="I59" s="175"/>
      <c r="J59" s="175"/>
      <c r="K59" s="175"/>
      <c r="L59" s="175"/>
      <c r="M59" s="175"/>
      <c r="N59" s="175"/>
      <c r="O59" s="195"/>
      <c r="P59" s="201"/>
      <c r="Q59" s="175"/>
      <c r="R59" s="175"/>
      <c r="S59" s="175"/>
      <c r="T59" s="175"/>
      <c r="U59" s="202"/>
      <c r="V59" s="257" t="s">
        <v>825</v>
      </c>
    </row>
    <row r="60" spans="1:22" x14ac:dyDescent="0.25">
      <c r="A60" s="175"/>
      <c r="B60" s="175"/>
      <c r="C60" s="175"/>
      <c r="D60" s="175"/>
      <c r="E60" s="175"/>
      <c r="F60" s="175" t="s">
        <v>278</v>
      </c>
      <c r="G60" s="176" t="s">
        <v>305</v>
      </c>
      <c r="H60" s="176"/>
      <c r="I60" s="175"/>
      <c r="J60" s="175"/>
      <c r="K60" s="175"/>
      <c r="L60" s="175"/>
      <c r="M60" s="175"/>
      <c r="N60" s="175"/>
      <c r="O60" s="195"/>
      <c r="P60" s="201"/>
      <c r="Q60" s="175"/>
      <c r="R60" s="175"/>
      <c r="S60" s="175"/>
      <c r="T60" s="175"/>
      <c r="U60" s="202"/>
      <c r="V60" s="196"/>
    </row>
    <row r="61" spans="1:22" ht="60" x14ac:dyDescent="0.25">
      <c r="A61" s="175"/>
      <c r="B61" s="175"/>
      <c r="C61" s="175"/>
      <c r="D61" s="175"/>
      <c r="E61" s="175"/>
      <c r="F61" s="175" t="s">
        <v>295</v>
      </c>
      <c r="G61" s="176" t="s">
        <v>327</v>
      </c>
      <c r="H61" s="176"/>
      <c r="I61" s="175"/>
      <c r="J61" s="175"/>
      <c r="K61" s="175"/>
      <c r="L61" s="175"/>
      <c r="M61" s="175"/>
      <c r="N61" s="175"/>
      <c r="O61" s="195"/>
      <c r="P61" s="201"/>
      <c r="Q61" s="175"/>
      <c r="R61" s="175"/>
      <c r="S61" s="175"/>
      <c r="T61" s="175"/>
      <c r="U61" s="202"/>
      <c r="V61" s="196" t="s">
        <v>655</v>
      </c>
    </row>
    <row r="62" spans="1:22" ht="30" x14ac:dyDescent="0.25">
      <c r="A62" s="175"/>
      <c r="B62" s="175"/>
      <c r="C62" s="175"/>
      <c r="D62" s="175"/>
      <c r="E62" s="175"/>
      <c r="F62" s="175" t="s">
        <v>310</v>
      </c>
      <c r="G62" s="176" t="s">
        <v>571</v>
      </c>
      <c r="H62" s="176"/>
      <c r="I62" s="175"/>
      <c r="J62" s="175"/>
      <c r="K62" s="175"/>
      <c r="L62" s="175"/>
      <c r="M62" s="175"/>
      <c r="N62" s="175"/>
      <c r="O62" s="195"/>
      <c r="P62" s="201"/>
      <c r="Q62" s="175"/>
      <c r="R62" s="175"/>
      <c r="S62" s="175" t="s">
        <v>644</v>
      </c>
      <c r="T62" s="175"/>
      <c r="U62" s="202"/>
      <c r="V62" s="196"/>
    </row>
    <row r="63" spans="1:22" ht="45" x14ac:dyDescent="0.25">
      <c r="A63" s="175" t="s">
        <v>9</v>
      </c>
      <c r="B63" s="307" t="s">
        <v>996</v>
      </c>
      <c r="C63" s="298" t="s">
        <v>958</v>
      </c>
      <c r="D63" s="252" t="s">
        <v>821</v>
      </c>
      <c r="E63" s="175" t="str">
        <f>PGI!D26</f>
        <v>Anhydrous EtOH</v>
      </c>
      <c r="F63" s="175" t="s">
        <v>274</v>
      </c>
      <c r="G63" s="176">
        <f>PGI!U26</f>
        <v>9.9994632073361682</v>
      </c>
      <c r="H63" s="176">
        <f>35/4*G3</f>
        <v>69.996242451353169</v>
      </c>
      <c r="I63" s="175" t="s">
        <v>333</v>
      </c>
      <c r="J63" s="175"/>
      <c r="K63" s="175"/>
      <c r="L63" s="175">
        <v>2</v>
      </c>
      <c r="M63" s="175">
        <v>4</v>
      </c>
      <c r="N63" s="175"/>
      <c r="O63" s="195"/>
      <c r="P63" s="201"/>
      <c r="Q63" s="175"/>
      <c r="R63" s="175"/>
      <c r="S63" s="175" t="s">
        <v>644</v>
      </c>
      <c r="T63" s="175"/>
      <c r="U63" s="202"/>
      <c r="V63" s="196"/>
    </row>
    <row r="64" spans="1:22" x14ac:dyDescent="0.25">
      <c r="A64" s="175"/>
      <c r="B64" s="175"/>
      <c r="C64" s="175"/>
      <c r="D64" s="175"/>
      <c r="E64" s="175"/>
      <c r="F64" s="175" t="s">
        <v>290</v>
      </c>
      <c r="G64" s="306" t="s">
        <v>502</v>
      </c>
      <c r="H64" s="176"/>
      <c r="I64" s="175"/>
      <c r="J64" s="175"/>
      <c r="K64" s="175"/>
      <c r="L64" s="175"/>
      <c r="M64" s="175"/>
      <c r="N64" s="175"/>
      <c r="O64" s="195"/>
      <c r="P64" s="201"/>
      <c r="Q64" s="175"/>
      <c r="R64" s="175"/>
      <c r="S64" s="175" t="s">
        <v>644</v>
      </c>
      <c r="T64" s="175"/>
      <c r="U64" s="202"/>
      <c r="V64" s="196"/>
    </row>
    <row r="65" spans="1:22" x14ac:dyDescent="0.25">
      <c r="A65" s="175"/>
      <c r="B65" s="175"/>
      <c r="C65" s="175"/>
      <c r="D65" s="175"/>
      <c r="E65" s="175"/>
      <c r="F65" s="175" t="s">
        <v>277</v>
      </c>
      <c r="G65" s="306" t="s">
        <v>502</v>
      </c>
      <c r="H65" s="176"/>
      <c r="I65" s="175"/>
      <c r="J65" s="175"/>
      <c r="K65" s="175"/>
      <c r="L65" s="175"/>
      <c r="M65" s="175"/>
      <c r="N65" s="175"/>
      <c r="O65" s="195"/>
      <c r="P65" s="201"/>
      <c r="Q65" s="175"/>
      <c r="R65" s="175"/>
      <c r="S65" s="175" t="s">
        <v>644</v>
      </c>
      <c r="T65" s="175"/>
      <c r="U65" s="202"/>
      <c r="V65" s="196"/>
    </row>
    <row r="66" spans="1:22" x14ac:dyDescent="0.25">
      <c r="A66" s="175"/>
      <c r="B66" s="175"/>
      <c r="C66" s="175"/>
      <c r="D66" s="175"/>
      <c r="E66" s="175"/>
      <c r="F66" s="175" t="s">
        <v>278</v>
      </c>
      <c r="G66" s="176" t="s">
        <v>305</v>
      </c>
      <c r="H66" s="176"/>
      <c r="I66" s="175"/>
      <c r="J66" s="175"/>
      <c r="K66" s="175"/>
      <c r="L66" s="175"/>
      <c r="M66" s="175"/>
      <c r="N66" s="175"/>
      <c r="O66" s="195"/>
      <c r="P66" s="201"/>
      <c r="Q66" s="175"/>
      <c r="R66" s="175"/>
      <c r="S66" s="175"/>
      <c r="T66" s="175" t="s">
        <v>644</v>
      </c>
      <c r="U66" s="202"/>
      <c r="V66" s="196"/>
    </row>
    <row r="67" spans="1:22" x14ac:dyDescent="0.25">
      <c r="A67" s="175"/>
      <c r="B67" s="175"/>
      <c r="C67" s="175"/>
      <c r="D67" s="175"/>
      <c r="E67" s="175"/>
      <c r="F67" s="175" t="s">
        <v>279</v>
      </c>
      <c r="G67" s="176" t="s">
        <v>318</v>
      </c>
      <c r="H67" s="176"/>
      <c r="I67" s="175"/>
      <c r="J67" s="175"/>
      <c r="K67" s="175"/>
      <c r="L67" s="175"/>
      <c r="M67" s="175"/>
      <c r="N67" s="175"/>
      <c r="O67" s="195"/>
      <c r="P67" s="201"/>
      <c r="Q67" s="175"/>
      <c r="R67" s="175"/>
      <c r="S67" s="175"/>
      <c r="T67" s="175" t="s">
        <v>644</v>
      </c>
      <c r="U67" s="202"/>
      <c r="V67" s="196"/>
    </row>
    <row r="68" spans="1:22" ht="45" x14ac:dyDescent="0.25">
      <c r="A68" s="175" t="s">
        <v>9</v>
      </c>
      <c r="B68" s="190" t="s">
        <v>299</v>
      </c>
      <c r="C68" s="298" t="s">
        <v>959</v>
      </c>
      <c r="D68" s="175" t="s">
        <v>572</v>
      </c>
      <c r="E68" s="175"/>
      <c r="F68" s="175" t="s">
        <v>290</v>
      </c>
      <c r="G68" s="176" t="s">
        <v>1000</v>
      </c>
      <c r="H68" s="176"/>
      <c r="I68" s="175" t="s">
        <v>333</v>
      </c>
      <c r="J68" s="175"/>
      <c r="K68" s="175"/>
      <c r="L68" s="175">
        <v>2</v>
      </c>
      <c r="M68" s="175">
        <v>4</v>
      </c>
      <c r="N68" s="175"/>
      <c r="O68" s="195"/>
      <c r="P68" s="201"/>
      <c r="Q68" s="175"/>
      <c r="R68" s="175"/>
      <c r="S68" s="175" t="s">
        <v>644</v>
      </c>
      <c r="T68" s="175"/>
      <c r="U68" s="202"/>
      <c r="V68" s="196"/>
    </row>
    <row r="69" spans="1:22" x14ac:dyDescent="0.25">
      <c r="A69" s="175"/>
      <c r="B69" s="175"/>
      <c r="C69" s="175"/>
      <c r="D69" s="175"/>
      <c r="E69" s="175"/>
      <c r="F69" s="175" t="s">
        <v>291</v>
      </c>
      <c r="G69" s="176" t="s">
        <v>1003</v>
      </c>
      <c r="H69" s="176"/>
      <c r="I69" s="175"/>
      <c r="J69" s="175"/>
      <c r="K69" s="175"/>
      <c r="L69" s="175"/>
      <c r="M69" s="175"/>
      <c r="N69" s="175"/>
      <c r="O69" s="195"/>
      <c r="P69" s="201"/>
      <c r="Q69" s="175"/>
      <c r="R69" s="175"/>
      <c r="S69" s="175"/>
      <c r="T69" s="175" t="s">
        <v>644</v>
      </c>
      <c r="U69" s="202"/>
      <c r="V69" s="196"/>
    </row>
    <row r="70" spans="1:22" ht="30" x14ac:dyDescent="0.25">
      <c r="A70" s="175"/>
      <c r="B70" s="175"/>
      <c r="C70" s="175"/>
      <c r="D70" s="175"/>
      <c r="E70" s="175"/>
      <c r="F70" s="175" t="s">
        <v>300</v>
      </c>
      <c r="G70" s="176" t="s">
        <v>316</v>
      </c>
      <c r="H70" s="176"/>
      <c r="I70" s="175"/>
      <c r="J70" s="175"/>
      <c r="K70" s="175"/>
      <c r="L70" s="175"/>
      <c r="M70" s="175"/>
      <c r="N70" s="175"/>
      <c r="O70" s="195"/>
      <c r="P70" s="201"/>
      <c r="Q70" s="175"/>
      <c r="R70" s="175"/>
      <c r="S70" s="175"/>
      <c r="T70" s="175" t="s">
        <v>644</v>
      </c>
      <c r="U70" s="202"/>
      <c r="V70" s="257" t="s">
        <v>825</v>
      </c>
    </row>
    <row r="71" spans="1:22" x14ac:dyDescent="0.25">
      <c r="A71" s="175"/>
      <c r="B71" s="175"/>
      <c r="C71" s="175"/>
      <c r="D71" s="175"/>
      <c r="E71" s="175"/>
      <c r="F71" s="175" t="s">
        <v>278</v>
      </c>
      <c r="G71" s="176" t="s">
        <v>305</v>
      </c>
      <c r="H71" s="176"/>
      <c r="I71" s="175"/>
      <c r="J71" s="175"/>
      <c r="K71" s="175"/>
      <c r="L71" s="175"/>
      <c r="M71" s="175"/>
      <c r="N71" s="175"/>
      <c r="O71" s="195"/>
      <c r="P71" s="201"/>
      <c r="Q71" s="175"/>
      <c r="R71" s="175"/>
      <c r="S71" s="175" t="s">
        <v>644</v>
      </c>
      <c r="T71" s="175"/>
      <c r="U71" s="202"/>
      <c r="V71" s="196"/>
    </row>
    <row r="72" spans="1:22" ht="60" x14ac:dyDescent="0.25">
      <c r="A72" s="175"/>
      <c r="B72" s="175"/>
      <c r="C72" s="175"/>
      <c r="D72" s="175"/>
      <c r="E72" s="175"/>
      <c r="F72" s="175" t="s">
        <v>295</v>
      </c>
      <c r="G72" s="176" t="s">
        <v>327</v>
      </c>
      <c r="H72" s="176"/>
      <c r="I72" s="175"/>
      <c r="J72" s="175"/>
      <c r="K72" s="175"/>
      <c r="L72" s="175"/>
      <c r="M72" s="175"/>
      <c r="N72" s="175"/>
      <c r="O72" s="195"/>
      <c r="P72" s="201"/>
      <c r="Q72" s="175"/>
      <c r="R72" s="175"/>
      <c r="S72" s="175"/>
      <c r="T72" s="175" t="s">
        <v>644</v>
      </c>
      <c r="U72" s="202"/>
      <c r="V72" s="196" t="s">
        <v>655</v>
      </c>
    </row>
    <row r="73" spans="1:22" x14ac:dyDescent="0.25">
      <c r="A73" s="175"/>
      <c r="B73" s="175"/>
      <c r="C73" s="175"/>
      <c r="D73" s="175"/>
      <c r="E73" s="175"/>
      <c r="F73" s="175" t="s">
        <v>310</v>
      </c>
      <c r="G73" s="306" t="s">
        <v>502</v>
      </c>
      <c r="H73" s="176"/>
      <c r="I73" s="175"/>
      <c r="J73" s="175"/>
      <c r="K73" s="175"/>
      <c r="L73" s="175"/>
      <c r="M73" s="175"/>
      <c r="N73" s="175"/>
      <c r="O73" s="195"/>
      <c r="P73" s="201"/>
      <c r="Q73" s="175"/>
      <c r="R73" s="175"/>
      <c r="S73" s="175" t="s">
        <v>644</v>
      </c>
      <c r="T73" s="175"/>
      <c r="U73" s="202"/>
      <c r="V73" s="196"/>
    </row>
    <row r="74" spans="1:22" ht="45" x14ac:dyDescent="0.25">
      <c r="A74" s="175" t="s">
        <v>9</v>
      </c>
      <c r="B74" s="307" t="s">
        <v>996</v>
      </c>
      <c r="C74" s="298" t="s">
        <v>958</v>
      </c>
      <c r="D74" s="252" t="s">
        <v>822</v>
      </c>
      <c r="E74" s="252" t="str">
        <f>PGI!D27</f>
        <v>Anhydrous EtOH</v>
      </c>
      <c r="F74" s="175" t="s">
        <v>274</v>
      </c>
      <c r="G74" s="176">
        <f>PGI!U27</f>
        <v>35.998067546410205</v>
      </c>
      <c r="H74" s="176"/>
      <c r="I74" s="175"/>
      <c r="J74" s="175"/>
      <c r="K74" s="175"/>
      <c r="L74" s="175"/>
      <c r="M74" s="175"/>
      <c r="N74" s="175"/>
      <c r="O74" s="195"/>
      <c r="P74" s="201"/>
      <c r="Q74" s="175"/>
      <c r="R74" s="175"/>
      <c r="S74" s="175" t="s">
        <v>644</v>
      </c>
      <c r="T74" s="175"/>
      <c r="U74" s="202"/>
      <c r="V74" s="196" t="s">
        <v>656</v>
      </c>
    </row>
    <row r="75" spans="1:22" ht="30" x14ac:dyDescent="0.25">
      <c r="A75" s="175"/>
      <c r="B75" s="175"/>
      <c r="C75" s="175"/>
      <c r="D75" s="175"/>
      <c r="E75" s="175"/>
      <c r="F75" s="175" t="s">
        <v>290</v>
      </c>
      <c r="G75" s="176" t="s">
        <v>1004</v>
      </c>
      <c r="H75" s="176"/>
      <c r="I75" s="175" t="s">
        <v>575</v>
      </c>
      <c r="J75" s="175"/>
      <c r="K75" s="175"/>
      <c r="L75" s="175">
        <v>2</v>
      </c>
      <c r="M75" s="175">
        <v>4</v>
      </c>
      <c r="N75" s="175"/>
      <c r="O75" s="195"/>
      <c r="P75" s="201"/>
      <c r="Q75" s="175"/>
      <c r="R75" s="175"/>
      <c r="S75" s="175" t="s">
        <v>644</v>
      </c>
      <c r="T75" s="175"/>
      <c r="U75" s="202"/>
      <c r="V75" s="196"/>
    </row>
    <row r="76" spans="1:22" x14ac:dyDescent="0.25">
      <c r="A76" s="175"/>
      <c r="B76" s="175"/>
      <c r="C76" s="175"/>
      <c r="D76" s="175"/>
      <c r="E76" s="175"/>
      <c r="F76" s="175" t="s">
        <v>277</v>
      </c>
      <c r="G76" s="176" t="s">
        <v>1005</v>
      </c>
      <c r="H76" s="176"/>
      <c r="I76" s="175"/>
      <c r="J76" s="175"/>
      <c r="K76" s="175"/>
      <c r="L76" s="175"/>
      <c r="M76" s="175"/>
      <c r="N76" s="175"/>
      <c r="O76" s="195"/>
      <c r="P76" s="201"/>
      <c r="Q76" s="175"/>
      <c r="R76" s="175"/>
      <c r="S76" s="175" t="s">
        <v>644</v>
      </c>
      <c r="T76" s="175"/>
      <c r="U76" s="202"/>
      <c r="V76" s="196"/>
    </row>
    <row r="77" spans="1:22" x14ac:dyDescent="0.25">
      <c r="A77" s="175"/>
      <c r="B77" s="175"/>
      <c r="C77" s="175"/>
      <c r="D77" s="175"/>
      <c r="E77" s="175"/>
      <c r="F77" s="175" t="s">
        <v>278</v>
      </c>
      <c r="G77" s="176" t="s">
        <v>305</v>
      </c>
      <c r="H77" s="176"/>
      <c r="I77" s="175"/>
      <c r="J77" s="175"/>
      <c r="K77" s="175"/>
      <c r="L77" s="175"/>
      <c r="M77" s="175"/>
      <c r="N77" s="175"/>
      <c r="O77" s="195"/>
      <c r="P77" s="201"/>
      <c r="Q77" s="175"/>
      <c r="R77" s="175"/>
      <c r="S77" s="175"/>
      <c r="T77" s="175" t="s">
        <v>644</v>
      </c>
      <c r="U77" s="202"/>
      <c r="V77" s="196"/>
    </row>
    <row r="78" spans="1:22" ht="30" x14ac:dyDescent="0.25">
      <c r="A78" s="175"/>
      <c r="B78" s="175"/>
      <c r="C78" s="175"/>
      <c r="D78" s="175"/>
      <c r="E78" s="175"/>
      <c r="F78" s="175" t="s">
        <v>279</v>
      </c>
      <c r="G78" s="176" t="s">
        <v>318</v>
      </c>
      <c r="H78" s="176"/>
      <c r="I78" s="175" t="s">
        <v>575</v>
      </c>
      <c r="J78" s="175"/>
      <c r="K78" s="175"/>
      <c r="L78" s="175">
        <v>2</v>
      </c>
      <c r="M78" s="175">
        <v>4</v>
      </c>
      <c r="N78" s="175"/>
      <c r="O78" s="195"/>
      <c r="P78" s="201"/>
      <c r="Q78" s="175"/>
      <c r="R78" s="175"/>
      <c r="S78" s="175"/>
      <c r="T78" s="175" t="s">
        <v>644</v>
      </c>
      <c r="U78" s="202"/>
      <c r="V78" s="196"/>
    </row>
    <row r="79" spans="1:22" ht="30" x14ac:dyDescent="0.25">
      <c r="A79" s="175" t="s">
        <v>9</v>
      </c>
      <c r="B79" s="190" t="s">
        <v>309</v>
      </c>
      <c r="C79" s="193" t="s">
        <v>709</v>
      </c>
      <c r="D79" s="175" t="s">
        <v>329</v>
      </c>
      <c r="E79" s="175"/>
      <c r="F79" s="175" t="s">
        <v>290</v>
      </c>
      <c r="G79" s="176" t="s">
        <v>1006</v>
      </c>
      <c r="H79" s="176"/>
      <c r="I79" s="175"/>
      <c r="J79" s="175"/>
      <c r="K79" s="175"/>
      <c r="L79" s="175"/>
      <c r="M79" s="175"/>
      <c r="N79" s="175"/>
      <c r="O79" s="195"/>
      <c r="P79" s="201"/>
      <c r="Q79" s="175"/>
      <c r="R79" s="175"/>
      <c r="S79" s="175" t="s">
        <v>644</v>
      </c>
      <c r="T79" s="175"/>
      <c r="U79" s="202"/>
      <c r="V79" s="196"/>
    </row>
    <row r="80" spans="1:22" x14ac:dyDescent="0.25">
      <c r="A80" s="175"/>
      <c r="B80" s="175"/>
      <c r="C80" s="175"/>
      <c r="D80" s="175"/>
      <c r="E80" s="175"/>
      <c r="F80" s="175" t="s">
        <v>291</v>
      </c>
      <c r="G80" s="176" t="s">
        <v>1005</v>
      </c>
      <c r="H80" s="176"/>
      <c r="I80" s="175"/>
      <c r="J80" s="175"/>
      <c r="K80" s="175"/>
      <c r="L80" s="175"/>
      <c r="M80" s="175"/>
      <c r="N80" s="175"/>
      <c r="O80" s="195"/>
      <c r="P80" s="201"/>
      <c r="Q80" s="175"/>
      <c r="R80" s="175"/>
      <c r="S80" s="175" t="s">
        <v>644</v>
      </c>
      <c r="T80" s="175"/>
      <c r="U80" s="202"/>
      <c r="V80" s="196"/>
    </row>
    <row r="81" spans="1:22" ht="45" x14ac:dyDescent="0.25">
      <c r="A81" s="175"/>
      <c r="B81" s="175"/>
      <c r="C81" s="175"/>
      <c r="D81" s="175"/>
      <c r="E81" s="175"/>
      <c r="F81" s="175" t="s">
        <v>278</v>
      </c>
      <c r="G81" s="176" t="s">
        <v>305</v>
      </c>
      <c r="H81" s="176"/>
      <c r="I81" s="175" t="s">
        <v>334</v>
      </c>
      <c r="J81" s="175"/>
      <c r="K81" s="175"/>
      <c r="L81" s="175">
        <v>1</v>
      </c>
      <c r="M81" s="175" t="s">
        <v>337</v>
      </c>
      <c r="N81" s="175"/>
      <c r="O81" s="195"/>
      <c r="P81" s="201"/>
      <c r="Q81" s="175"/>
      <c r="R81" s="175"/>
      <c r="S81" s="175" t="s">
        <v>644</v>
      </c>
      <c r="T81" s="175"/>
      <c r="U81" s="202"/>
      <c r="V81" s="196"/>
    </row>
    <row r="82" spans="1:22" x14ac:dyDescent="0.25">
      <c r="A82" s="175"/>
      <c r="B82" s="175"/>
      <c r="C82" s="175"/>
      <c r="D82" s="175"/>
      <c r="E82" s="175"/>
      <c r="F82" s="175" t="s">
        <v>284</v>
      </c>
      <c r="G82" s="176" t="s">
        <v>330</v>
      </c>
      <c r="H82" s="176"/>
      <c r="I82" s="175"/>
      <c r="J82" s="175"/>
      <c r="K82" s="175"/>
      <c r="L82" s="175"/>
      <c r="M82" s="175"/>
      <c r="N82" s="175"/>
      <c r="O82" s="195"/>
      <c r="P82" s="201"/>
      <c r="Q82" s="175"/>
      <c r="R82" s="175"/>
      <c r="S82" s="175" t="s">
        <v>644</v>
      </c>
      <c r="T82" s="175"/>
      <c r="U82" s="202"/>
      <c r="V82" s="196"/>
    </row>
    <row r="83" spans="1:22" x14ac:dyDescent="0.25">
      <c r="A83" s="175"/>
      <c r="B83" s="175"/>
      <c r="C83" s="175"/>
      <c r="D83" s="175"/>
      <c r="E83" s="175"/>
      <c r="F83" s="175" t="s">
        <v>310</v>
      </c>
      <c r="G83" s="176" t="s">
        <v>311</v>
      </c>
      <c r="H83" s="176"/>
      <c r="I83" s="175"/>
      <c r="J83" s="175"/>
      <c r="K83" s="175"/>
      <c r="L83" s="175"/>
      <c r="M83" s="175"/>
      <c r="N83" s="175"/>
      <c r="O83" s="195"/>
      <c r="P83" s="201"/>
      <c r="Q83" s="175"/>
      <c r="R83" s="175"/>
      <c r="S83" s="175"/>
      <c r="T83" s="175" t="s">
        <v>644</v>
      </c>
      <c r="U83" s="202"/>
      <c r="V83" s="196"/>
    </row>
    <row r="84" spans="1:22" ht="45" x14ac:dyDescent="0.25">
      <c r="A84" s="175" t="s">
        <v>9</v>
      </c>
      <c r="B84" s="190" t="s">
        <v>286</v>
      </c>
      <c r="C84" s="298" t="s">
        <v>959</v>
      </c>
      <c r="D84" s="252" t="s">
        <v>573</v>
      </c>
      <c r="E84" s="175"/>
      <c r="F84" s="175" t="s">
        <v>295</v>
      </c>
      <c r="G84" s="176" t="s">
        <v>297</v>
      </c>
      <c r="H84" s="176"/>
      <c r="I84" s="175"/>
      <c r="J84" s="175"/>
      <c r="K84" s="175"/>
      <c r="L84" s="175"/>
      <c r="M84" s="175"/>
      <c r="N84" s="175"/>
      <c r="O84" s="195"/>
      <c r="P84" s="201"/>
      <c r="Q84" s="175"/>
      <c r="R84" s="175"/>
      <c r="S84" s="175" t="s">
        <v>644</v>
      </c>
      <c r="T84" s="175"/>
      <c r="U84" s="202"/>
      <c r="V84" s="196"/>
    </row>
    <row r="85" spans="1:22" x14ac:dyDescent="0.25">
      <c r="A85" s="175"/>
      <c r="B85" s="175"/>
      <c r="C85" s="175"/>
      <c r="D85" s="175"/>
      <c r="E85" s="175"/>
      <c r="F85" s="175" t="s">
        <v>296</v>
      </c>
      <c r="G85" s="176" t="s">
        <v>298</v>
      </c>
      <c r="H85" s="176"/>
      <c r="I85" s="175"/>
      <c r="J85" s="175"/>
      <c r="K85" s="175"/>
      <c r="L85" s="175"/>
      <c r="M85" s="175"/>
      <c r="N85" s="175"/>
      <c r="O85" s="195"/>
      <c r="P85" s="201"/>
      <c r="Q85" s="175"/>
      <c r="R85" s="175"/>
      <c r="S85" s="175" t="s">
        <v>644</v>
      </c>
      <c r="T85" s="175"/>
      <c r="U85" s="202"/>
      <c r="V85" s="196" t="s">
        <v>332</v>
      </c>
    </row>
    <row r="86" spans="1:22" ht="75" x14ac:dyDescent="0.25">
      <c r="A86" s="175" t="s">
        <v>9</v>
      </c>
      <c r="B86" s="190" t="s">
        <v>660</v>
      </c>
      <c r="C86" s="304" t="s">
        <v>960</v>
      </c>
      <c r="D86" s="252" t="s">
        <v>901</v>
      </c>
      <c r="E86" s="252" t="str">
        <f>PGI!D23</f>
        <v>Water</v>
      </c>
      <c r="F86" s="175" t="s">
        <v>274</v>
      </c>
      <c r="G86" s="176">
        <f>PGI!U23</f>
        <v>29.998389622008503</v>
      </c>
      <c r="H86" s="176"/>
      <c r="I86" s="175"/>
      <c r="J86" s="175"/>
      <c r="K86" s="175"/>
      <c r="L86" s="175"/>
      <c r="M86" s="175"/>
      <c r="N86" s="175"/>
      <c r="O86" s="195"/>
      <c r="P86" s="201"/>
      <c r="Q86" s="175"/>
      <c r="R86" s="175"/>
      <c r="S86" s="175" t="s">
        <v>644</v>
      </c>
      <c r="T86" s="175"/>
      <c r="U86" s="202"/>
      <c r="V86" s="196" t="s">
        <v>574</v>
      </c>
    </row>
    <row r="87" spans="1:22" ht="30" x14ac:dyDescent="0.25">
      <c r="A87" s="175"/>
      <c r="B87" s="175"/>
      <c r="C87" s="175"/>
      <c r="D87" s="175"/>
      <c r="E87" s="175"/>
      <c r="F87" s="175" t="s">
        <v>294</v>
      </c>
      <c r="G87" s="253" t="s">
        <v>999</v>
      </c>
      <c r="H87" s="176"/>
      <c r="I87" s="175"/>
      <c r="J87" s="175"/>
      <c r="K87" s="175"/>
      <c r="L87" s="175"/>
      <c r="M87" s="175"/>
      <c r="N87" s="175"/>
      <c r="O87" s="195"/>
      <c r="P87" s="201"/>
      <c r="Q87" s="175"/>
      <c r="R87" s="175"/>
      <c r="S87" s="175" t="s">
        <v>644</v>
      </c>
      <c r="T87" s="175"/>
      <c r="U87" s="202"/>
      <c r="V87" s="196"/>
    </row>
    <row r="88" spans="1:22" ht="30" x14ac:dyDescent="0.25">
      <c r="A88" s="175"/>
      <c r="B88" s="175"/>
      <c r="C88" s="175"/>
      <c r="D88" s="175"/>
      <c r="E88" s="175"/>
      <c r="F88" s="175" t="s">
        <v>278</v>
      </c>
      <c r="G88" s="176" t="s">
        <v>576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175"/>
      <c r="T88" s="175" t="s">
        <v>644</v>
      </c>
      <c r="U88" s="202"/>
      <c r="V88" s="196"/>
    </row>
    <row r="89" spans="1:22" ht="75" x14ac:dyDescent="0.25">
      <c r="A89" s="175" t="s">
        <v>9</v>
      </c>
      <c r="B89" s="190" t="s">
        <v>660</v>
      </c>
      <c r="C89" s="304" t="s">
        <v>960</v>
      </c>
      <c r="D89" s="252" t="s">
        <v>902</v>
      </c>
      <c r="E89" s="252" t="str">
        <f>PGI!D24</f>
        <v>Water</v>
      </c>
      <c r="F89" s="175" t="s">
        <v>274</v>
      </c>
      <c r="G89" s="176">
        <f>PGI!U24</f>
        <v>29.998389622008503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175" t="s">
        <v>644</v>
      </c>
      <c r="T89" s="175"/>
      <c r="U89" s="202"/>
      <c r="V89" s="196"/>
    </row>
    <row r="90" spans="1:22" ht="30" x14ac:dyDescent="0.25">
      <c r="A90" s="175"/>
      <c r="B90" s="175"/>
      <c r="C90" s="175"/>
      <c r="D90" s="175"/>
      <c r="E90" s="175"/>
      <c r="F90" s="175" t="s">
        <v>294</v>
      </c>
      <c r="G90" s="253" t="s">
        <v>999</v>
      </c>
      <c r="H90" s="176"/>
      <c r="I90" s="175"/>
      <c r="J90" s="175"/>
      <c r="K90" s="175"/>
      <c r="L90" s="175"/>
      <c r="M90" s="175"/>
      <c r="N90" s="175"/>
      <c r="O90" s="195"/>
      <c r="P90" s="201"/>
      <c r="Q90" s="175"/>
      <c r="R90" s="175"/>
      <c r="S90" s="175" t="s">
        <v>644</v>
      </c>
      <c r="T90" s="175"/>
      <c r="U90" s="202"/>
      <c r="V90" s="196"/>
    </row>
    <row r="91" spans="1:22" ht="30" x14ac:dyDescent="0.25">
      <c r="A91" s="175"/>
      <c r="B91" s="175"/>
      <c r="C91" s="175"/>
      <c r="D91" s="175"/>
      <c r="E91" s="175"/>
      <c r="F91" s="175" t="s">
        <v>278</v>
      </c>
      <c r="G91" s="176" t="s">
        <v>576</v>
      </c>
      <c r="H91" s="176"/>
      <c r="I91" s="175"/>
      <c r="J91" s="175"/>
      <c r="K91" s="175"/>
      <c r="L91" s="175"/>
      <c r="M91" s="175"/>
      <c r="N91" s="175"/>
      <c r="O91" s="195"/>
      <c r="P91" s="201"/>
      <c r="Q91" s="175"/>
      <c r="R91" s="175"/>
      <c r="S91" s="175"/>
      <c r="T91" s="175" t="s">
        <v>644</v>
      </c>
      <c r="U91" s="202"/>
      <c r="V91" s="196"/>
    </row>
    <row r="92" spans="1:22" ht="75" x14ac:dyDescent="0.25">
      <c r="A92" s="175" t="s">
        <v>9</v>
      </c>
      <c r="B92" s="190" t="s">
        <v>660</v>
      </c>
      <c r="C92" s="304" t="s">
        <v>960</v>
      </c>
      <c r="D92" s="252" t="s">
        <v>903</v>
      </c>
      <c r="E92" s="252" t="str">
        <f>PGI!D25</f>
        <v>Water</v>
      </c>
      <c r="F92" s="175" t="s">
        <v>274</v>
      </c>
      <c r="G92" s="176">
        <f>PGI!U25</f>
        <v>29.998389622008503</v>
      </c>
      <c r="H92" s="176"/>
      <c r="I92" s="175"/>
      <c r="J92" s="175"/>
      <c r="K92" s="175"/>
      <c r="L92" s="175"/>
      <c r="M92" s="175"/>
      <c r="N92" s="175"/>
      <c r="O92" s="195"/>
      <c r="P92" s="201"/>
      <c r="Q92" s="175"/>
      <c r="R92" s="175"/>
      <c r="S92" s="175" t="s">
        <v>644</v>
      </c>
      <c r="T92" s="175"/>
      <c r="U92" s="202"/>
      <c r="V92" s="196"/>
    </row>
    <row r="93" spans="1:22" ht="30" x14ac:dyDescent="0.25">
      <c r="A93" s="175"/>
      <c r="B93" s="175"/>
      <c r="C93" s="175"/>
      <c r="D93" s="175"/>
      <c r="E93" s="175"/>
      <c r="F93" s="175" t="s">
        <v>294</v>
      </c>
      <c r="G93" s="253" t="s">
        <v>999</v>
      </c>
      <c r="H93" s="176"/>
      <c r="I93" s="175"/>
      <c r="J93" s="175"/>
      <c r="K93" s="175"/>
      <c r="L93" s="175"/>
      <c r="M93" s="175"/>
      <c r="N93" s="175"/>
      <c r="O93" s="195"/>
      <c r="P93" s="201"/>
      <c r="Q93" s="175"/>
      <c r="R93" s="175"/>
      <c r="S93" s="175" t="s">
        <v>644</v>
      </c>
      <c r="T93" s="175"/>
      <c r="U93" s="202"/>
      <c r="V93" s="196"/>
    </row>
    <row r="94" spans="1:22" ht="30" x14ac:dyDescent="0.25">
      <c r="A94" s="175"/>
      <c r="B94" s="175"/>
      <c r="C94" s="175"/>
      <c r="D94" s="175"/>
      <c r="E94" s="175"/>
      <c r="F94" s="175" t="s">
        <v>278</v>
      </c>
      <c r="G94" s="176" t="s">
        <v>576</v>
      </c>
      <c r="H94" s="176"/>
      <c r="I94" s="175"/>
      <c r="J94" s="175"/>
      <c r="K94" s="175"/>
      <c r="L94" s="175"/>
      <c r="M94" s="175"/>
      <c r="N94" s="175"/>
      <c r="O94" s="195"/>
      <c r="P94" s="201"/>
      <c r="Q94" s="175"/>
      <c r="R94" s="175"/>
      <c r="S94" s="175"/>
      <c r="T94" s="175" t="s">
        <v>644</v>
      </c>
      <c r="U94" s="202"/>
      <c r="V94" s="196"/>
    </row>
    <row r="95" spans="1:22" ht="75" x14ac:dyDescent="0.25">
      <c r="A95" s="175" t="s">
        <v>9</v>
      </c>
      <c r="B95" s="190" t="s">
        <v>660</v>
      </c>
      <c r="C95" s="304" t="s">
        <v>960</v>
      </c>
      <c r="D95" s="252" t="s">
        <v>904</v>
      </c>
      <c r="E95" s="252" t="str">
        <f>PGI!D28</f>
        <v>Anhydrous EtOH</v>
      </c>
      <c r="F95" s="175" t="s">
        <v>274</v>
      </c>
      <c r="G95" s="176">
        <f>PGI!U28</f>
        <v>9.9994632073361682</v>
      </c>
      <c r="H95" s="176"/>
      <c r="I95" s="175"/>
      <c r="J95" s="175"/>
      <c r="K95" s="175"/>
      <c r="L95" s="175">
        <v>2</v>
      </c>
      <c r="M95" s="175">
        <v>5</v>
      </c>
      <c r="N95" s="175"/>
      <c r="O95" s="195"/>
      <c r="P95" s="201"/>
      <c r="Q95" s="175"/>
      <c r="R95" s="175"/>
      <c r="S95" s="175"/>
      <c r="T95" s="175" t="s">
        <v>644</v>
      </c>
      <c r="U95" s="202"/>
      <c r="V95" s="196" t="s">
        <v>577</v>
      </c>
    </row>
    <row r="96" spans="1:22" ht="30" x14ac:dyDescent="0.25">
      <c r="A96" s="175"/>
      <c r="B96" s="175"/>
      <c r="C96" s="175"/>
      <c r="D96" s="175"/>
      <c r="E96" s="175"/>
      <c r="F96" s="175" t="s">
        <v>294</v>
      </c>
      <c r="G96" s="253" t="s">
        <v>999</v>
      </c>
      <c r="H96" s="176"/>
      <c r="I96" s="175"/>
      <c r="J96" s="175"/>
      <c r="K96" s="175"/>
      <c r="L96" s="175"/>
      <c r="M96" s="175"/>
      <c r="N96" s="175"/>
      <c r="O96" s="195"/>
      <c r="P96" s="201"/>
      <c r="Q96" s="175"/>
      <c r="R96" s="175"/>
      <c r="S96" s="175"/>
      <c r="T96" s="175" t="s">
        <v>644</v>
      </c>
      <c r="U96" s="202"/>
      <c r="V96" s="196"/>
    </row>
    <row r="97" spans="1:22" ht="30" x14ac:dyDescent="0.25">
      <c r="A97" s="175"/>
      <c r="B97" s="175"/>
      <c r="C97" s="175"/>
      <c r="D97" s="175"/>
      <c r="E97" s="175"/>
      <c r="F97" s="175" t="s">
        <v>278</v>
      </c>
      <c r="G97" s="176" t="s">
        <v>576</v>
      </c>
      <c r="H97" s="176"/>
      <c r="I97" s="175"/>
      <c r="J97" s="175"/>
      <c r="K97" s="175"/>
      <c r="L97" s="175"/>
      <c r="M97" s="175"/>
      <c r="N97" s="175"/>
      <c r="O97" s="195"/>
      <c r="P97" s="201"/>
      <c r="Q97" s="175"/>
      <c r="R97" s="175"/>
      <c r="S97" s="175" t="s">
        <v>644</v>
      </c>
      <c r="T97" s="175"/>
      <c r="U97" s="202"/>
      <c r="V97" s="196"/>
    </row>
    <row r="98" spans="1:22" ht="75" x14ac:dyDescent="0.25">
      <c r="A98" s="175" t="s">
        <v>9</v>
      </c>
      <c r="B98" s="190" t="s">
        <v>660</v>
      </c>
      <c r="C98" s="304" t="s">
        <v>960</v>
      </c>
      <c r="D98" s="252" t="s">
        <v>905</v>
      </c>
      <c r="E98" s="252" t="str">
        <f>PGI!D29</f>
        <v>Anhydrous EtOH</v>
      </c>
      <c r="F98" s="175" t="s">
        <v>274</v>
      </c>
      <c r="G98" s="176">
        <f>PGI!U29</f>
        <v>9.9994632073361682</v>
      </c>
      <c r="H98" s="176"/>
      <c r="I98" s="175"/>
      <c r="J98" s="175"/>
      <c r="K98" s="175"/>
      <c r="L98" s="175">
        <v>2</v>
      </c>
      <c r="M98" s="175">
        <v>5</v>
      </c>
      <c r="N98" s="175"/>
      <c r="O98" s="195"/>
      <c r="P98" s="201"/>
      <c r="Q98" s="175"/>
      <c r="R98" s="175"/>
      <c r="S98" s="175"/>
      <c r="T98" s="175" t="s">
        <v>644</v>
      </c>
      <c r="U98" s="202"/>
      <c r="V98" s="196"/>
    </row>
    <row r="99" spans="1:22" ht="30" x14ac:dyDescent="0.25">
      <c r="A99" s="175"/>
      <c r="B99" s="175"/>
      <c r="C99" s="175"/>
      <c r="D99" s="175"/>
      <c r="E99" s="175"/>
      <c r="F99" s="175" t="s">
        <v>294</v>
      </c>
      <c r="G99" s="253" t="s">
        <v>999</v>
      </c>
      <c r="H99" s="176"/>
      <c r="I99" s="175"/>
      <c r="J99" s="175"/>
      <c r="K99" s="175"/>
      <c r="L99" s="175"/>
      <c r="M99" s="175"/>
      <c r="N99" s="175"/>
      <c r="O99" s="195"/>
      <c r="P99" s="201"/>
      <c r="Q99" s="175"/>
      <c r="R99" s="175"/>
      <c r="S99" s="175"/>
      <c r="T99" s="175" t="s">
        <v>644</v>
      </c>
      <c r="U99" s="202"/>
      <c r="V99" s="196"/>
    </row>
    <row r="100" spans="1:22" ht="30" x14ac:dyDescent="0.25">
      <c r="A100" s="175"/>
      <c r="B100" s="175"/>
      <c r="C100" s="175"/>
      <c r="D100" s="175"/>
      <c r="E100" s="175"/>
      <c r="F100" s="175" t="s">
        <v>278</v>
      </c>
      <c r="G100" s="176" t="s">
        <v>576</v>
      </c>
      <c r="H100" s="176"/>
      <c r="I100" s="175"/>
      <c r="J100" s="175"/>
      <c r="K100" s="175"/>
      <c r="L100" s="175"/>
      <c r="M100" s="175"/>
      <c r="N100" s="175"/>
      <c r="O100" s="195"/>
      <c r="P100" s="201"/>
      <c r="Q100" s="175"/>
      <c r="R100" s="175"/>
      <c r="S100" s="175" t="s">
        <v>644</v>
      </c>
      <c r="T100" s="175"/>
      <c r="U100" s="202"/>
      <c r="V100" s="196"/>
    </row>
    <row r="101" spans="1:22" ht="60" x14ac:dyDescent="0.25">
      <c r="A101" s="175" t="s">
        <v>9</v>
      </c>
      <c r="B101" s="158" t="s">
        <v>906</v>
      </c>
      <c r="C101" s="193" t="s">
        <v>709</v>
      </c>
      <c r="D101" s="158" t="s">
        <v>907</v>
      </c>
      <c r="E101" s="175"/>
      <c r="F101" s="158" t="s">
        <v>284</v>
      </c>
      <c r="G101" s="253" t="s">
        <v>839</v>
      </c>
      <c r="H101" s="176"/>
      <c r="I101" s="175"/>
      <c r="J101" s="175"/>
      <c r="K101" s="175"/>
      <c r="L101" s="175"/>
      <c r="M101" s="175"/>
      <c r="N101" s="175"/>
      <c r="O101" s="195"/>
      <c r="P101" s="201"/>
      <c r="Q101" s="175"/>
      <c r="R101" s="175"/>
      <c r="S101" s="175"/>
      <c r="T101" s="175"/>
      <c r="U101" s="202"/>
      <c r="V101" s="196"/>
    </row>
    <row r="102" spans="1:22" x14ac:dyDescent="0.25">
      <c r="A102" s="158"/>
      <c r="B102" s="158"/>
      <c r="C102" s="158"/>
      <c r="D102" s="158"/>
      <c r="E102" s="175"/>
      <c r="F102" s="158" t="s">
        <v>296</v>
      </c>
      <c r="G102" s="253" t="s">
        <v>908</v>
      </c>
      <c r="H102" s="176"/>
      <c r="I102" s="175"/>
      <c r="J102" s="175"/>
      <c r="K102" s="175"/>
      <c r="L102" s="175"/>
      <c r="M102" s="175"/>
      <c r="N102" s="175"/>
      <c r="O102" s="195"/>
      <c r="P102" s="201"/>
      <c r="Q102" s="175"/>
      <c r="R102" s="175"/>
      <c r="S102" s="175"/>
      <c r="T102" s="175"/>
      <c r="U102" s="202"/>
      <c r="V102" s="196"/>
    </row>
    <row r="103" spans="1:22" ht="45" x14ac:dyDescent="0.25">
      <c r="A103" s="175" t="s">
        <v>9</v>
      </c>
      <c r="B103" s="190" t="s">
        <v>288</v>
      </c>
      <c r="C103" s="298" t="s">
        <v>959</v>
      </c>
      <c r="D103" s="175" t="s">
        <v>289</v>
      </c>
      <c r="E103" s="175"/>
      <c r="F103" s="175" t="s">
        <v>290</v>
      </c>
      <c r="G103" s="176" t="s">
        <v>1007</v>
      </c>
      <c r="H103" s="176"/>
      <c r="I103" s="175"/>
      <c r="J103" s="175"/>
      <c r="K103" s="175"/>
      <c r="L103" s="175">
        <v>2</v>
      </c>
      <c r="M103" s="175">
        <v>5</v>
      </c>
      <c r="N103" s="175"/>
      <c r="O103" s="195"/>
      <c r="P103" s="201"/>
      <c r="Q103" s="175"/>
      <c r="R103" s="175"/>
      <c r="S103" s="175"/>
      <c r="T103" s="175" t="s">
        <v>644</v>
      </c>
      <c r="U103" s="202"/>
      <c r="V103" s="196" t="s">
        <v>657</v>
      </c>
    </row>
    <row r="104" spans="1:22" ht="30" x14ac:dyDescent="0.25">
      <c r="A104" s="175"/>
      <c r="B104" s="175"/>
      <c r="C104" s="175"/>
      <c r="D104" s="175"/>
      <c r="E104" s="175"/>
      <c r="F104" s="175" t="s">
        <v>301</v>
      </c>
      <c r="G104" s="306" t="s">
        <v>502</v>
      </c>
      <c r="H104" s="176"/>
      <c r="I104" s="175"/>
      <c r="J104" s="175"/>
      <c r="K104" s="175"/>
      <c r="L104" s="175"/>
      <c r="M104" s="175"/>
      <c r="N104" s="175"/>
      <c r="O104" s="195"/>
      <c r="P104" s="201"/>
      <c r="Q104" s="175"/>
      <c r="R104" s="175"/>
      <c r="S104" s="175"/>
      <c r="T104" s="175" t="s">
        <v>644</v>
      </c>
      <c r="U104" s="202"/>
      <c r="V104" s="196"/>
    </row>
    <row r="105" spans="1:22" x14ac:dyDescent="0.25">
      <c r="A105" s="175"/>
      <c r="B105" s="175"/>
      <c r="C105" s="175"/>
      <c r="D105" s="175"/>
      <c r="E105" s="175"/>
      <c r="F105" s="175" t="s">
        <v>302</v>
      </c>
      <c r="G105" s="176" t="s">
        <v>538</v>
      </c>
      <c r="H105" s="176"/>
      <c r="I105" s="175"/>
      <c r="J105" s="175"/>
      <c r="K105" s="175"/>
      <c r="L105" s="175"/>
      <c r="M105" s="175"/>
      <c r="N105" s="175"/>
      <c r="O105" s="195"/>
      <c r="P105" s="201"/>
      <c r="Q105" s="175"/>
      <c r="R105" s="175"/>
      <c r="S105" s="175" t="s">
        <v>644</v>
      </c>
      <c r="T105" s="175"/>
      <c r="U105" s="202"/>
      <c r="V105" s="196"/>
    </row>
    <row r="106" spans="1:22" x14ac:dyDescent="0.25">
      <c r="A106" s="175"/>
      <c r="B106" s="175"/>
      <c r="C106" s="175"/>
      <c r="D106" s="175"/>
      <c r="E106" s="175"/>
      <c r="F106" s="175" t="s">
        <v>303</v>
      </c>
      <c r="G106" s="176" t="s">
        <v>317</v>
      </c>
      <c r="H106" s="176"/>
      <c r="I106" s="175"/>
      <c r="J106" s="175"/>
      <c r="K106" s="175"/>
      <c r="L106" s="175"/>
      <c r="M106" s="175"/>
      <c r="N106" s="175"/>
      <c r="O106" s="195"/>
      <c r="P106" s="201"/>
      <c r="Q106" s="175"/>
      <c r="R106" s="175"/>
      <c r="S106" s="175"/>
      <c r="T106" s="175" t="s">
        <v>644</v>
      </c>
      <c r="U106" s="202"/>
      <c r="V106" s="196"/>
    </row>
    <row r="107" spans="1:22" ht="30" x14ac:dyDescent="0.25">
      <c r="A107" s="175"/>
      <c r="B107" s="175"/>
      <c r="C107" s="175"/>
      <c r="D107" s="175"/>
      <c r="E107" s="175"/>
      <c r="F107" s="175" t="s">
        <v>304</v>
      </c>
      <c r="G107" s="176" t="s">
        <v>438</v>
      </c>
      <c r="H107" s="176"/>
      <c r="I107" s="175"/>
      <c r="J107" s="175"/>
      <c r="K107" s="175"/>
      <c r="L107" s="175"/>
      <c r="M107" s="175"/>
      <c r="N107" s="175"/>
      <c r="O107" s="195"/>
      <c r="P107" s="201"/>
      <c r="Q107" s="175"/>
      <c r="R107" s="175"/>
      <c r="S107" s="175"/>
      <c r="T107" s="175" t="s">
        <v>644</v>
      </c>
      <c r="U107" s="202"/>
      <c r="V107" s="196"/>
    </row>
    <row r="108" spans="1:22" x14ac:dyDescent="0.25">
      <c r="A108" s="175"/>
      <c r="B108" s="175"/>
      <c r="C108" s="175"/>
      <c r="D108" s="175"/>
      <c r="E108" s="175"/>
      <c r="F108" s="175" t="s">
        <v>284</v>
      </c>
      <c r="G108" s="176" t="s">
        <v>578</v>
      </c>
      <c r="H108" s="176"/>
      <c r="I108" s="175"/>
      <c r="J108" s="175"/>
      <c r="K108" s="175"/>
      <c r="L108" s="175"/>
      <c r="M108" s="175"/>
      <c r="N108" s="175"/>
      <c r="O108" s="195"/>
      <c r="P108" s="201"/>
      <c r="Q108" s="175"/>
      <c r="R108" s="175"/>
      <c r="S108" s="175" t="s">
        <v>644</v>
      </c>
      <c r="T108" s="175"/>
      <c r="U108" s="202"/>
      <c r="V108" s="196"/>
    </row>
    <row r="109" spans="1:22" x14ac:dyDescent="0.25">
      <c r="A109" s="175"/>
      <c r="B109" s="175"/>
      <c r="C109" s="175"/>
      <c r="D109" s="175"/>
      <c r="E109" s="175"/>
      <c r="F109" s="187" t="s">
        <v>596</v>
      </c>
      <c r="G109" s="264">
        <f>PGI!O30</f>
        <v>0.5</v>
      </c>
      <c r="H109" s="176"/>
      <c r="I109" s="175"/>
      <c r="J109" s="175"/>
      <c r="K109" s="175"/>
      <c r="L109" s="175"/>
      <c r="M109" s="175"/>
      <c r="N109" s="175"/>
      <c r="O109" s="195"/>
      <c r="P109" s="201"/>
      <c r="Q109" s="175"/>
      <c r="R109" s="175"/>
      <c r="S109" s="175"/>
      <c r="T109" s="175" t="s">
        <v>644</v>
      </c>
      <c r="U109" s="202"/>
      <c r="V109" s="196"/>
    </row>
    <row r="110" spans="1:22" x14ac:dyDescent="0.25">
      <c r="A110" s="175"/>
      <c r="B110" s="175"/>
      <c r="C110" s="175"/>
      <c r="D110" s="175"/>
      <c r="E110" s="175"/>
      <c r="F110" s="187" t="s">
        <v>597</v>
      </c>
      <c r="G110" s="264">
        <f>PGI!U30</f>
        <v>4.3511160814135543</v>
      </c>
      <c r="H110" s="176"/>
      <c r="I110" s="175"/>
      <c r="J110" s="175"/>
      <c r="K110" s="175"/>
      <c r="L110" s="175"/>
      <c r="M110" s="175"/>
      <c r="N110" s="175"/>
      <c r="O110" s="195"/>
      <c r="P110" s="201"/>
      <c r="Q110" s="175"/>
      <c r="R110" s="175"/>
      <c r="S110" s="175" t="s">
        <v>644</v>
      </c>
      <c r="T110" s="175"/>
      <c r="U110" s="202"/>
      <c r="V110" s="196"/>
    </row>
    <row r="111" spans="1:22" ht="30" x14ac:dyDescent="0.25">
      <c r="A111" s="175" t="s">
        <v>9</v>
      </c>
      <c r="B111" s="190" t="s">
        <v>661</v>
      </c>
      <c r="C111" s="175"/>
      <c r="D111" s="175" t="s">
        <v>542</v>
      </c>
      <c r="E111" s="175"/>
      <c r="F111" s="175" t="s">
        <v>543</v>
      </c>
      <c r="G111" s="176" t="s">
        <v>544</v>
      </c>
      <c r="H111" s="176"/>
      <c r="I111" s="175"/>
      <c r="J111" s="175"/>
      <c r="K111" s="175"/>
      <c r="L111" s="175"/>
      <c r="M111" s="175"/>
      <c r="N111" s="175"/>
      <c r="O111" s="195"/>
      <c r="P111" s="201"/>
      <c r="Q111" s="175"/>
      <c r="R111" s="175"/>
      <c r="S111" s="175" t="s">
        <v>644</v>
      </c>
      <c r="T111" s="175"/>
      <c r="U111" s="202"/>
      <c r="V111" s="196"/>
    </row>
    <row r="112" spans="1:22" x14ac:dyDescent="0.25">
      <c r="A112" s="175"/>
      <c r="B112" s="175"/>
      <c r="C112" s="175"/>
      <c r="D112" s="175"/>
      <c r="E112" s="175"/>
      <c r="F112" s="175" t="s">
        <v>545</v>
      </c>
      <c r="G112" s="253" t="s">
        <v>547</v>
      </c>
      <c r="H112" s="176"/>
      <c r="I112" s="175"/>
      <c r="J112" s="175"/>
      <c r="K112" s="175"/>
      <c r="L112" s="175"/>
      <c r="M112" s="175"/>
      <c r="N112" s="175"/>
      <c r="O112" s="195"/>
      <c r="P112" s="201"/>
      <c r="Q112" s="175"/>
      <c r="R112" s="175"/>
      <c r="S112" s="175"/>
      <c r="T112" s="175" t="s">
        <v>644</v>
      </c>
      <c r="U112" s="202"/>
      <c r="V112" s="196"/>
    </row>
    <row r="113" spans="1:27" x14ac:dyDescent="0.25">
      <c r="A113" s="175"/>
      <c r="B113" s="175"/>
      <c r="C113" s="175"/>
      <c r="D113" s="175"/>
      <c r="E113" s="175"/>
      <c r="F113" s="175" t="s">
        <v>546</v>
      </c>
      <c r="G113" s="253" t="s">
        <v>909</v>
      </c>
      <c r="H113" s="176"/>
      <c r="I113" s="175"/>
      <c r="J113" s="175"/>
      <c r="K113" s="175"/>
      <c r="L113" s="175"/>
      <c r="M113" s="175"/>
      <c r="N113" s="175"/>
      <c r="O113" s="195"/>
      <c r="P113" s="201"/>
      <c r="Q113" s="175"/>
      <c r="R113" s="175"/>
      <c r="S113" s="175"/>
      <c r="T113" s="175"/>
      <c r="U113" s="202"/>
      <c r="V113" s="196"/>
    </row>
    <row r="114" spans="1:27" customFormat="1" ht="30" x14ac:dyDescent="0.25">
      <c r="A114" s="175" t="s">
        <v>9</v>
      </c>
      <c r="B114" s="175"/>
      <c r="C114" s="175"/>
      <c r="D114" s="298" t="s">
        <v>961</v>
      </c>
      <c r="E114" s="175"/>
      <c r="F114" s="300" t="s">
        <v>559</v>
      </c>
      <c r="G114" s="302" t="s">
        <v>962</v>
      </c>
      <c r="H114" s="176"/>
      <c r="I114" s="175"/>
      <c r="J114" s="175"/>
      <c r="K114" s="175"/>
      <c r="L114" s="175"/>
      <c r="M114" s="175"/>
      <c r="N114" s="175"/>
      <c r="O114" s="195"/>
      <c r="P114" s="201"/>
      <c r="Q114" s="175"/>
      <c r="R114" s="175"/>
      <c r="S114" s="238"/>
      <c r="T114" s="175"/>
      <c r="U114" s="202"/>
      <c r="V114" s="196"/>
      <c r="Z114" s="1"/>
      <c r="AA114" s="1"/>
    </row>
    <row r="115" spans="1:27" customFormat="1" ht="45" x14ac:dyDescent="0.25">
      <c r="A115" s="175"/>
      <c r="B115" s="175"/>
      <c r="C115" s="175"/>
      <c r="D115" s="175"/>
      <c r="E115" s="175"/>
      <c r="F115" s="301" t="s">
        <v>437</v>
      </c>
      <c r="G115" s="302" t="s">
        <v>964</v>
      </c>
      <c r="H115" s="176"/>
      <c r="I115" s="175"/>
      <c r="J115" s="175"/>
      <c r="K115" s="175"/>
      <c r="L115" s="175"/>
      <c r="M115" s="175"/>
      <c r="N115" s="175"/>
      <c r="O115" s="195"/>
      <c r="P115" s="201"/>
      <c r="Q115" s="175"/>
      <c r="R115" s="175"/>
      <c r="S115" s="238"/>
      <c r="T115" s="175"/>
      <c r="U115" s="202"/>
      <c r="V115" s="196"/>
      <c r="Z115" s="1"/>
      <c r="AA115" s="1"/>
    </row>
    <row r="116" spans="1:27" ht="30" x14ac:dyDescent="0.25">
      <c r="A116" s="175" t="s">
        <v>9</v>
      </c>
      <c r="B116" s="190" t="s">
        <v>662</v>
      </c>
      <c r="C116" s="175"/>
      <c r="D116" s="175" t="s">
        <v>549</v>
      </c>
      <c r="E116" s="175"/>
      <c r="F116" s="175" t="s">
        <v>550</v>
      </c>
      <c r="G116" s="176" t="s">
        <v>658</v>
      </c>
      <c r="H116" s="176"/>
      <c r="I116" s="175"/>
      <c r="J116" s="175"/>
      <c r="K116" s="175"/>
      <c r="L116" s="175"/>
      <c r="M116" s="175"/>
      <c r="N116" s="175"/>
      <c r="O116" s="195"/>
      <c r="P116" s="201"/>
      <c r="Q116" s="175"/>
      <c r="R116" s="175"/>
      <c r="S116" s="175"/>
      <c r="T116" s="175"/>
      <c r="U116" s="202"/>
      <c r="V116" s="196"/>
    </row>
    <row r="117" spans="1:27" ht="15.75" thickBot="1" x14ac:dyDescent="0.3">
      <c r="A117" s="175"/>
      <c r="B117" s="175"/>
      <c r="C117" s="175"/>
      <c r="D117" s="175"/>
      <c r="E117" s="175"/>
      <c r="F117" s="175" t="s">
        <v>551</v>
      </c>
      <c r="G117" s="176" t="s">
        <v>552</v>
      </c>
      <c r="H117" s="176"/>
      <c r="I117" s="175"/>
      <c r="J117" s="175"/>
      <c r="K117" s="175"/>
      <c r="L117" s="175"/>
      <c r="M117" s="175"/>
      <c r="N117" s="175"/>
      <c r="O117" s="195"/>
      <c r="P117" s="203"/>
      <c r="Q117" s="204"/>
      <c r="R117" s="204"/>
      <c r="S117" s="204"/>
      <c r="T117" s="204"/>
      <c r="U117" s="205"/>
      <c r="V117" s="196"/>
    </row>
    <row r="118" spans="1:27" ht="30" x14ac:dyDescent="0.25">
      <c r="A118" s="175" t="s">
        <v>9</v>
      </c>
      <c r="B118" s="252" t="s">
        <v>808</v>
      </c>
      <c r="C118" s="252"/>
      <c r="D118" s="252"/>
      <c r="E118" s="252"/>
      <c r="F118" s="252" t="s">
        <v>809</v>
      </c>
      <c r="G118" s="306" t="s">
        <v>502</v>
      </c>
    </row>
    <row r="119" spans="1:27" ht="45" x14ac:dyDescent="0.25">
      <c r="A119" s="175"/>
      <c r="B119" s="252"/>
      <c r="C119" s="252"/>
      <c r="D119" s="252"/>
      <c r="E119" s="252"/>
      <c r="F119" s="252" t="s">
        <v>810</v>
      </c>
      <c r="G119" s="250" t="s">
        <v>826</v>
      </c>
    </row>
    <row r="120" spans="1:27" x14ac:dyDescent="0.25">
      <c r="A120" s="175"/>
      <c r="B120" s="254"/>
      <c r="C120" s="158"/>
      <c r="D120" s="158"/>
      <c r="E120" s="158"/>
      <c r="F120" s="158" t="s">
        <v>811</v>
      </c>
      <c r="G120" s="306" t="s">
        <v>502</v>
      </c>
    </row>
  </sheetData>
  <mergeCells count="1">
    <mergeCell ref="P1:U1"/>
  </mergeCells>
  <conditionalFormatting sqref="A48:A50 A4:C8 A52:C55 A75:A80 E3:F94 A81:C83 H3:V94 P95:V113 F95:F108 P116:V117 G73:G108 A3:B3 A10:C13 A9:B9 A15:C18 A25:C28 A24:B24 A51:B51 A64:C67 A63:B63 A74:B74 A58:C62 A42:C45 A41:B41 A34:C40 A33:B33 A30:C32 A29:B29 A20:C23 A19:B19 A47:C47 A46:B46 A87:C88 A86:B86 A90:C91 A89:B89 A93:C94 A92:B92 A85:C85 A84:B84 A69:C73 A68:B68 A56:B57 A14:B14 G3:G61">
    <cfRule type="expression" dxfId="586" priority="195">
      <formula>ISBLANK(A3)</formula>
    </cfRule>
  </conditionalFormatting>
  <conditionalFormatting sqref="A17:P17 R17:V17 A111:V113 A109:E110 H109:V110 A104:V108 A102:D102 B101 E101:V102 A116:V117 A18:V18 G74:G106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6">
    <cfRule type="expression" dxfId="585" priority="194">
      <formula>$A3&lt;&gt;""</formula>
    </cfRule>
  </conditionalFormatting>
  <conditionalFormatting sqref="N2:O2">
    <cfRule type="expression" dxfId="584" priority="196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583" priority="197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582" priority="198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O94">
    <cfRule type="expression" dxfId="581" priority="193">
      <formula>#REF!&lt;&gt;""</formula>
    </cfRule>
  </conditionalFormatting>
  <conditionalFormatting sqref="A111:V113 A109:E110 H109:V110 H95:O104 A102:D102 B101 F74:F108 E101:V102 A116:V117 A104:V108 A3:B3 D3:V3 A9:B9 D9:V9 D14:V14 A24:B24 D24:V24 A51:B51 D51:V51 A64:V67 A63:B63 D63:V63 A75:V78 A74:B74 D74:V74 D101 A80:V83 A79:B79 D79:V79 A58:V62 A42:V45 A41:B41 A34:V40 A33:B33 D33:V33 A30:V32 A29:B29 D29:V29 A20:V23 A19:B19 A47:V47 A46:B46 D46:V46 A49:V50 A48:B48 D48:V48 A87:V88 A86:B86 D86:V86 A90:V91 A89:B89 D89:V89 A93:V94 A92:B92 D92:V92 A96:V97 A95:B95 D95:V95 A99:V100 A98:B98 D98:V98 A103:B103 D103:V103 A85:V85 A84:B84 D84:V84 A69:V73 A68:B68 D68:V68 A56:B57 D56:V57 A14:B14 D19:V19 A25:V28 D41:V41 A52:V55 A4:V8 A10:V13 A15:V18">
    <cfRule type="expression" dxfId="580" priority="192">
      <formula>ISBLANK(A3)</formula>
    </cfRule>
  </conditionalFormatting>
  <conditionalFormatting sqref="B75:C78 B80:C80 B79">
    <cfRule type="expression" dxfId="579" priority="178">
      <formula>ISBLANK(B75)</formula>
    </cfRule>
  </conditionalFormatting>
  <conditionalFormatting sqref="H19:J23">
    <cfRule type="expression" dxfId="578" priority="204">
      <formula>#REF!&lt;&gt;""</formula>
    </cfRule>
  </conditionalFormatting>
  <conditionalFormatting sqref="A96:C97 B95 A99:C100 B98 E95:E102">
    <cfRule type="expression" dxfId="577" priority="158">
      <formula>ISBLANK(A95)</formula>
    </cfRule>
  </conditionalFormatting>
  <conditionalFormatting sqref="A96:C97 B95 A99:C100 B98 E95:E102">
    <cfRule type="expression" dxfId="576" priority="157">
      <formula>$A95&lt;&gt;""</formula>
    </cfRule>
  </conditionalFormatting>
  <conditionalFormatting sqref="A95">
    <cfRule type="expression" dxfId="575" priority="156">
      <formula>ISBLANK(A95)</formula>
    </cfRule>
  </conditionalFormatting>
  <conditionalFormatting sqref="A95">
    <cfRule type="expression" dxfId="574" priority="155">
      <formula>$A95&lt;&gt;""</formula>
    </cfRule>
  </conditionalFormatting>
  <conditionalFormatting sqref="B103 E103">
    <cfRule type="expression" dxfId="573" priority="153">
      <formula>$A103&lt;&gt;""</formula>
    </cfRule>
  </conditionalFormatting>
  <conditionalFormatting sqref="A103">
    <cfRule type="expression" dxfId="572" priority="152">
      <formula>ISBLANK(A103)</formula>
    </cfRule>
  </conditionalFormatting>
  <conditionalFormatting sqref="A103">
    <cfRule type="expression" dxfId="571" priority="151">
      <formula>$A103&lt;&gt;""</formula>
    </cfRule>
  </conditionalFormatting>
  <conditionalFormatting sqref="D48:D56 D111:D113 D116:D117">
    <cfRule type="expression" dxfId="570" priority="146">
      <formula>ISBLANK(D48)</formula>
    </cfRule>
  </conditionalFormatting>
  <conditionalFormatting sqref="D57:D85 D3:D47 D103:D110">
    <cfRule type="expression" dxfId="569" priority="148">
      <formula>ISBLANK(D3)</formula>
    </cfRule>
  </conditionalFormatting>
  <conditionalFormatting sqref="D86:D100">
    <cfRule type="expression" dxfId="568" priority="145">
      <formula>ISBLANK(D86)</formula>
    </cfRule>
  </conditionalFormatting>
  <conditionalFormatting sqref="F57:F61 F111:F113 F116:F117">
    <cfRule type="expression" dxfId="567" priority="140">
      <formula>ISBLANK(F57)</formula>
    </cfRule>
  </conditionalFormatting>
  <conditionalFormatting sqref="F86:F102">
    <cfRule type="expression" dxfId="566" priority="138">
      <formula>ISBLANK(F86)</formula>
    </cfRule>
  </conditionalFormatting>
  <conditionalFormatting sqref="F19:F23">
    <cfRule type="expression" dxfId="565" priority="135">
      <formula>ISBLANK(F19)</formula>
    </cfRule>
  </conditionalFormatting>
  <conditionalFormatting sqref="F29:F47">
    <cfRule type="expression" dxfId="564" priority="136">
      <formula>$A29&lt;&gt;""</formula>
    </cfRule>
  </conditionalFormatting>
  <conditionalFormatting sqref="F29:F50">
    <cfRule type="expression" dxfId="563" priority="137">
      <formula>ISBLANK(F29)</formula>
    </cfRule>
  </conditionalFormatting>
  <conditionalFormatting sqref="F61 F72">
    <cfRule type="expression" dxfId="562" priority="143">
      <formula>$A62&lt;&gt;""</formula>
    </cfRule>
  </conditionalFormatting>
  <conditionalFormatting sqref="F63:F67">
    <cfRule type="expression" dxfId="561" priority="139">
      <formula>$A63&lt;&gt;""</formula>
    </cfRule>
  </conditionalFormatting>
  <conditionalFormatting sqref="F63:F72">
    <cfRule type="expression" dxfId="560" priority="132">
      <formula>ISBLANK(F63)</formula>
    </cfRule>
  </conditionalFormatting>
  <conditionalFormatting sqref="F79:F85">
    <cfRule type="expression" dxfId="559" priority="133">
      <formula>$A79&lt;&gt;""</formula>
    </cfRule>
  </conditionalFormatting>
  <conditionalFormatting sqref="F107:F108">
    <cfRule type="expression" dxfId="558" priority="144">
      <formula>$A109&lt;&gt;""</formula>
    </cfRule>
  </conditionalFormatting>
  <conditionalFormatting sqref="G63:G72">
    <cfRule type="expression" dxfId="557" priority="127">
      <formula>ISBLANK(G63)</formula>
    </cfRule>
  </conditionalFormatting>
  <conditionalFormatting sqref="G61 G72">
    <cfRule type="expression" dxfId="556" priority="128">
      <formula>$A62&lt;&gt;""</formula>
    </cfRule>
  </conditionalFormatting>
  <conditionalFormatting sqref="G107:G108">
    <cfRule type="expression" dxfId="555" priority="129">
      <formula>$A109&lt;&gt;""</formula>
    </cfRule>
  </conditionalFormatting>
  <conditionalFormatting sqref="G63:G71">
    <cfRule type="expression" dxfId="554" priority="126">
      <formula>$A63&lt;&gt;""</formula>
    </cfRule>
  </conditionalFormatting>
  <conditionalFormatting sqref="G111:G113 G116:G117">
    <cfRule type="expression" dxfId="553" priority="124">
      <formula>ISBLANK(G111)</formula>
    </cfRule>
    <cfRule type="expression" dxfId="552" priority="125">
      <formula>$A111&lt;&gt;""</formula>
    </cfRule>
  </conditionalFormatting>
  <conditionalFormatting sqref="A116 A111 A103 A95">
    <cfRule type="expression" dxfId="551" priority="118">
      <formula>ISBLANK(A95)</formula>
    </cfRule>
  </conditionalFormatting>
  <conditionalFormatting sqref="A116 A111 A103 A95">
    <cfRule type="expression" dxfId="550" priority="117">
      <formula>$A95&lt;&gt;""</formula>
    </cfRule>
  </conditionalFormatting>
  <conditionalFormatting sqref="A116 A111 A103 A95">
    <cfRule type="expression" dxfId="549" priority="116">
      <formula>ISBLANK(A95)</formula>
    </cfRule>
  </conditionalFormatting>
  <conditionalFormatting sqref="A119:G119 B118:F118 A120:F120">
    <cfRule type="expression" dxfId="548" priority="114">
      <formula>ISBLANK(A118)</formula>
    </cfRule>
  </conditionalFormatting>
  <conditionalFormatting sqref="A119:G119 B118:F118 A120:F120">
    <cfRule type="expression" dxfId="547" priority="113">
      <formula>$A118&lt;&gt;""</formula>
    </cfRule>
  </conditionalFormatting>
  <conditionalFormatting sqref="A119:A120 F119:G119 F118 F120">
    <cfRule type="expression" dxfId="546" priority="112">
      <formula>ISBLANK(A118)</formula>
    </cfRule>
  </conditionalFormatting>
  <conditionalFormatting sqref="G119">
    <cfRule type="expression" dxfId="545" priority="111">
      <formula>$A119&lt;&gt;""</formula>
    </cfRule>
  </conditionalFormatting>
  <conditionalFormatting sqref="G119">
    <cfRule type="expression" dxfId="544" priority="110">
      <formula>ISBLANK(G119)</formula>
    </cfRule>
  </conditionalFormatting>
  <conditionalFormatting sqref="A118">
    <cfRule type="expression" dxfId="543" priority="106">
      <formula>$A118&lt;&gt;""</formula>
    </cfRule>
  </conditionalFormatting>
  <conditionalFormatting sqref="A118">
    <cfRule type="expression" dxfId="542" priority="105">
      <formula>ISBLANK(A118)</formula>
    </cfRule>
  </conditionalFormatting>
  <conditionalFormatting sqref="A118">
    <cfRule type="expression" dxfId="541" priority="104">
      <formula>ISBLANK(A118)</formula>
    </cfRule>
  </conditionalFormatting>
  <conditionalFormatting sqref="A118">
    <cfRule type="expression" dxfId="540" priority="103">
      <formula>$A118&lt;&gt;""</formula>
    </cfRule>
  </conditionalFormatting>
  <conditionalFormatting sqref="A118">
    <cfRule type="expression" dxfId="539" priority="102">
      <formula>ISBLANK(A118)</formula>
    </cfRule>
  </conditionalFormatting>
  <conditionalFormatting sqref="G96 G87 G65">
    <cfRule type="expression" dxfId="538" priority="101">
      <formula>ISBLANK(G65)</formula>
    </cfRule>
  </conditionalFormatting>
  <conditionalFormatting sqref="Q17">
    <cfRule type="expression" dxfId="537" priority="709">
      <formula>$A12&lt;&gt;""</formula>
    </cfRule>
  </conditionalFormatting>
  <conditionalFormatting sqref="Q12">
    <cfRule type="expression" dxfId="536" priority="100">
      <formula>$A7&lt;&gt;""</formula>
    </cfRule>
  </conditionalFormatting>
  <conditionalFormatting sqref="F110">
    <cfRule type="expression" dxfId="535" priority="99">
      <formula>ISBLANK(F110)</formula>
    </cfRule>
  </conditionalFormatting>
  <conditionalFormatting sqref="F110">
    <cfRule type="expression" dxfId="534" priority="98">
      <formula>$A110&lt;&gt;""</formula>
    </cfRule>
  </conditionalFormatting>
  <conditionalFormatting sqref="G90">
    <cfRule type="expression" dxfId="533" priority="97">
      <formula>ISBLANK(G90)</formula>
    </cfRule>
  </conditionalFormatting>
  <conditionalFormatting sqref="G93">
    <cfRule type="expression" dxfId="532" priority="96">
      <formula>ISBLANK(G93)</formula>
    </cfRule>
  </conditionalFormatting>
  <conditionalFormatting sqref="A98">
    <cfRule type="expression" dxfId="531" priority="95">
      <formula>ISBLANK(A98)</formula>
    </cfRule>
  </conditionalFormatting>
  <conditionalFormatting sqref="A98">
    <cfRule type="expression" dxfId="530" priority="94">
      <formula>$A98&lt;&gt;""</formula>
    </cfRule>
  </conditionalFormatting>
  <conditionalFormatting sqref="A98">
    <cfRule type="expression" dxfId="529" priority="93">
      <formula>ISBLANK(A98)</formula>
    </cfRule>
  </conditionalFormatting>
  <conditionalFormatting sqref="A98">
    <cfRule type="expression" dxfId="528" priority="92">
      <formula>$A98&lt;&gt;""</formula>
    </cfRule>
  </conditionalFormatting>
  <conditionalFormatting sqref="A98">
    <cfRule type="expression" dxfId="527" priority="91">
      <formula>ISBLANK(A98)</formula>
    </cfRule>
  </conditionalFormatting>
  <conditionalFormatting sqref="G99">
    <cfRule type="expression" dxfId="526" priority="90">
      <formula>ISBLANK(G99)</formula>
    </cfRule>
  </conditionalFormatting>
  <conditionalFormatting sqref="F101:F102">
    <cfRule type="expression" dxfId="525" priority="88">
      <formula>ISBLANK(F101)</formula>
    </cfRule>
  </conditionalFormatting>
  <conditionalFormatting sqref="A101">
    <cfRule type="expression" dxfId="524" priority="86">
      <formula>$A101&lt;&gt;""</formula>
    </cfRule>
  </conditionalFormatting>
  <conditionalFormatting sqref="A101">
    <cfRule type="expression" dxfId="523" priority="85">
      <formula>ISBLANK(A101)</formula>
    </cfRule>
  </conditionalFormatting>
  <conditionalFormatting sqref="A101">
    <cfRule type="expression" dxfId="522" priority="84">
      <formula>ISBLANK(A101)</formula>
    </cfRule>
  </conditionalFormatting>
  <conditionalFormatting sqref="A101">
    <cfRule type="expression" dxfId="521" priority="83">
      <formula>$A101&lt;&gt;""</formula>
    </cfRule>
  </conditionalFormatting>
  <conditionalFormatting sqref="A101">
    <cfRule type="expression" dxfId="520" priority="82">
      <formula>ISBLANK(A101)</formula>
    </cfRule>
  </conditionalFormatting>
  <conditionalFormatting sqref="A101">
    <cfRule type="expression" dxfId="519" priority="81">
      <formula>$A101&lt;&gt;""</formula>
    </cfRule>
  </conditionalFormatting>
  <conditionalFormatting sqref="A101">
    <cfRule type="expression" dxfId="518" priority="80">
      <formula>ISBLANK(A101)</formula>
    </cfRule>
  </conditionalFormatting>
  <conditionalFormatting sqref="H114:V115">
    <cfRule type="expression" dxfId="517" priority="78">
      <formula>ISBLANK(H114)</formula>
    </cfRule>
  </conditionalFormatting>
  <conditionalFormatting sqref="H114:V115">
    <cfRule type="expression" dxfId="516" priority="77">
      <formula>$A114&lt;&gt;""</formula>
    </cfRule>
  </conditionalFormatting>
  <conditionalFormatting sqref="K114:O115">
    <cfRule type="expression" dxfId="515" priority="79">
      <formula>#REF!&lt;&gt;""</formula>
    </cfRule>
  </conditionalFormatting>
  <conditionalFormatting sqref="A115:F115 B114:F114">
    <cfRule type="expression" dxfId="514" priority="76">
      <formula>$A114&lt;&gt;""</formula>
    </cfRule>
  </conditionalFormatting>
  <conditionalFormatting sqref="A115:F115 B114:F114">
    <cfRule type="expression" dxfId="513" priority="75">
      <formula>ISBLANK(A114)</formula>
    </cfRule>
  </conditionalFormatting>
  <conditionalFormatting sqref="D114:D115">
    <cfRule type="expression" dxfId="512" priority="74">
      <formula>ISBLANK(D114)</formula>
    </cfRule>
  </conditionalFormatting>
  <conditionalFormatting sqref="F114:F115">
    <cfRule type="expression" dxfId="511" priority="73">
      <formula>ISBLANK(F114)</formula>
    </cfRule>
  </conditionalFormatting>
  <conditionalFormatting sqref="G115">
    <cfRule type="expression" dxfId="510" priority="72">
      <formula>$A115&lt;&gt;""</formula>
    </cfRule>
  </conditionalFormatting>
  <conditionalFormatting sqref="G115">
    <cfRule type="expression" dxfId="509" priority="71">
      <formula>ISBLANK(G115)</formula>
    </cfRule>
  </conditionalFormatting>
  <conditionalFormatting sqref="G115">
    <cfRule type="expression" dxfId="508" priority="69">
      <formula>ISBLANK(G115)</formula>
    </cfRule>
    <cfRule type="expression" dxfId="507" priority="70">
      <formula>$A115&lt;&gt;""</formula>
    </cfRule>
  </conditionalFormatting>
  <conditionalFormatting sqref="G114">
    <cfRule type="expression" dxfId="506" priority="66">
      <formula>$A114&lt;&gt;""</formula>
    </cfRule>
  </conditionalFormatting>
  <conditionalFormatting sqref="G114">
    <cfRule type="expression" dxfId="505" priority="65">
      <formula>ISBLANK(G114)</formula>
    </cfRule>
  </conditionalFormatting>
  <conditionalFormatting sqref="G114">
    <cfRule type="expression" dxfId="504" priority="63">
      <formula>ISBLANK(G114)</formula>
    </cfRule>
    <cfRule type="expression" dxfId="503" priority="64">
      <formula>$A114&lt;&gt;""</formula>
    </cfRule>
  </conditionalFormatting>
  <conditionalFormatting sqref="A114">
    <cfRule type="expression" dxfId="502" priority="62">
      <formula>$A114&lt;&gt;""</formula>
    </cfRule>
  </conditionalFormatting>
  <conditionalFormatting sqref="A114">
    <cfRule type="expression" dxfId="501" priority="61">
      <formula>ISBLANK(A114)</formula>
    </cfRule>
  </conditionalFormatting>
  <conditionalFormatting sqref="A114">
    <cfRule type="expression" dxfId="500" priority="60">
      <formula>ISBLANK(A114)</formula>
    </cfRule>
  </conditionalFormatting>
  <conditionalFormatting sqref="A114">
    <cfRule type="expression" dxfId="499" priority="59">
      <formula>$A114&lt;&gt;""</formula>
    </cfRule>
  </conditionalFormatting>
  <conditionalFormatting sqref="A114">
    <cfRule type="expression" dxfId="498" priority="58">
      <formula>ISBLANK(A114)</formula>
    </cfRule>
  </conditionalFormatting>
  <conditionalFormatting sqref="G64:G65">
    <cfRule type="expression" dxfId="497" priority="57">
      <formula>ISBLANK(G64)</formula>
    </cfRule>
  </conditionalFormatting>
  <conditionalFormatting sqref="G118">
    <cfRule type="expression" dxfId="496" priority="56">
      <formula>ISBLANK(G118)</formula>
    </cfRule>
  </conditionalFormatting>
  <conditionalFormatting sqref="G118">
    <cfRule type="expression" dxfId="495" priority="55">
      <formula>$A118&lt;&gt;""</formula>
    </cfRule>
  </conditionalFormatting>
  <conditionalFormatting sqref="G118">
    <cfRule type="expression" dxfId="494" priority="54">
      <formula>ISBLANK(G118)</formula>
    </cfRule>
  </conditionalFormatting>
  <conditionalFormatting sqref="G120">
    <cfRule type="expression" dxfId="493" priority="53">
      <formula>ISBLANK(G120)</formula>
    </cfRule>
  </conditionalFormatting>
  <conditionalFormatting sqref="G120">
    <cfRule type="expression" dxfId="492" priority="52">
      <formula>$A120&lt;&gt;""</formula>
    </cfRule>
  </conditionalFormatting>
  <conditionalFormatting sqref="G120">
    <cfRule type="expression" dxfId="491" priority="51">
      <formula>ISBLANK(G120)</formula>
    </cfRule>
  </conditionalFormatting>
  <conditionalFormatting sqref="C3">
    <cfRule type="expression" dxfId="490" priority="50">
      <formula>ISBLANK(C3)</formula>
    </cfRule>
  </conditionalFormatting>
  <conditionalFormatting sqref="C3">
    <cfRule type="expression" dxfId="489" priority="49">
      <formula>$A3&lt;&gt;""</formula>
    </cfRule>
  </conditionalFormatting>
  <conditionalFormatting sqref="C9">
    <cfRule type="expression" dxfId="488" priority="48">
      <formula>ISBLANK(C9)</formula>
    </cfRule>
  </conditionalFormatting>
  <conditionalFormatting sqref="C9">
    <cfRule type="expression" dxfId="487" priority="47">
      <formula>$A9&lt;&gt;""</formula>
    </cfRule>
  </conditionalFormatting>
  <conditionalFormatting sqref="C14">
    <cfRule type="expression" dxfId="486" priority="46">
      <formula>ISBLANK(C14)</formula>
    </cfRule>
  </conditionalFormatting>
  <conditionalFormatting sqref="C14">
    <cfRule type="expression" dxfId="485" priority="45">
      <formula>$A14&lt;&gt;""</formula>
    </cfRule>
  </conditionalFormatting>
  <conditionalFormatting sqref="C24">
    <cfRule type="expression" dxfId="484" priority="44">
      <formula>ISBLANK(C24)</formula>
    </cfRule>
  </conditionalFormatting>
  <conditionalFormatting sqref="C24">
    <cfRule type="expression" dxfId="483" priority="43">
      <formula>$A24&lt;&gt;""</formula>
    </cfRule>
  </conditionalFormatting>
  <conditionalFormatting sqref="C51">
    <cfRule type="expression" dxfId="482" priority="42">
      <formula>ISBLANK(C51)</formula>
    </cfRule>
  </conditionalFormatting>
  <conditionalFormatting sqref="C51">
    <cfRule type="expression" dxfId="481" priority="41">
      <formula>$A51&lt;&gt;""</formula>
    </cfRule>
  </conditionalFormatting>
  <conditionalFormatting sqref="C63">
    <cfRule type="expression" dxfId="480" priority="40">
      <formula>ISBLANK(C63)</formula>
    </cfRule>
  </conditionalFormatting>
  <conditionalFormatting sqref="C63">
    <cfRule type="expression" dxfId="479" priority="39">
      <formula>$A63&lt;&gt;""</formula>
    </cfRule>
  </conditionalFormatting>
  <conditionalFormatting sqref="C74">
    <cfRule type="expression" dxfId="478" priority="38">
      <formula>ISBLANK(C74)</formula>
    </cfRule>
  </conditionalFormatting>
  <conditionalFormatting sqref="C74">
    <cfRule type="expression" dxfId="477" priority="37">
      <formula>$A74&lt;&gt;""</formula>
    </cfRule>
  </conditionalFormatting>
  <conditionalFormatting sqref="C101">
    <cfRule type="expression" dxfId="476" priority="36">
      <formula>ISBLANK(C101)</formula>
    </cfRule>
  </conditionalFormatting>
  <conditionalFormatting sqref="C101">
    <cfRule type="expression" dxfId="475" priority="35">
      <formula>$A101&lt;&gt;""</formula>
    </cfRule>
  </conditionalFormatting>
  <conditionalFormatting sqref="C79">
    <cfRule type="expression" dxfId="474" priority="34">
      <formula>ISBLANK(C79)</formula>
    </cfRule>
  </conditionalFormatting>
  <conditionalFormatting sqref="C79">
    <cfRule type="expression" dxfId="473" priority="33">
      <formula>$A79&lt;&gt;""</formula>
    </cfRule>
  </conditionalFormatting>
  <conditionalFormatting sqref="C56">
    <cfRule type="expression" dxfId="472" priority="32">
      <formula>ISBLANK(C56)</formula>
    </cfRule>
  </conditionalFormatting>
  <conditionalFormatting sqref="C56">
    <cfRule type="expression" dxfId="471" priority="31">
      <formula>$A56&lt;&gt;""</formula>
    </cfRule>
  </conditionalFormatting>
  <conditionalFormatting sqref="C41">
    <cfRule type="expression" dxfId="470" priority="30">
      <formula>ISBLANK(C41)</formula>
    </cfRule>
  </conditionalFormatting>
  <conditionalFormatting sqref="C41">
    <cfRule type="expression" dxfId="469" priority="29">
      <formula>$A41&lt;&gt;""</formula>
    </cfRule>
  </conditionalFormatting>
  <conditionalFormatting sqref="C33">
    <cfRule type="expression" dxfId="468" priority="28">
      <formula>ISBLANK(C33)</formula>
    </cfRule>
  </conditionalFormatting>
  <conditionalFormatting sqref="C33">
    <cfRule type="expression" dxfId="467" priority="27">
      <formula>$A33&lt;&gt;""</formula>
    </cfRule>
  </conditionalFormatting>
  <conditionalFormatting sqref="C29">
    <cfRule type="expression" dxfId="466" priority="26">
      <formula>ISBLANK(C29)</formula>
    </cfRule>
  </conditionalFormatting>
  <conditionalFormatting sqref="C29">
    <cfRule type="expression" dxfId="465" priority="25">
      <formula>$A29&lt;&gt;""</formula>
    </cfRule>
  </conditionalFormatting>
  <conditionalFormatting sqref="C19">
    <cfRule type="expression" dxfId="464" priority="24">
      <formula>ISBLANK(C19)</formula>
    </cfRule>
  </conditionalFormatting>
  <conditionalFormatting sqref="C19">
    <cfRule type="expression" dxfId="463" priority="23">
      <formula>$A19&lt;&gt;""</formula>
    </cfRule>
  </conditionalFormatting>
  <conditionalFormatting sqref="C46">
    <cfRule type="expression" dxfId="462" priority="22">
      <formula>ISBLANK(C46)</formula>
    </cfRule>
  </conditionalFormatting>
  <conditionalFormatting sqref="C46">
    <cfRule type="expression" dxfId="461" priority="21">
      <formula>$A46&lt;&gt;""</formula>
    </cfRule>
  </conditionalFormatting>
  <conditionalFormatting sqref="C48">
    <cfRule type="expression" dxfId="460" priority="20">
      <formula>ISBLANK(C48)</formula>
    </cfRule>
  </conditionalFormatting>
  <conditionalFormatting sqref="C48">
    <cfRule type="expression" dxfId="459" priority="19">
      <formula>$A48&lt;&gt;""</formula>
    </cfRule>
  </conditionalFormatting>
  <conditionalFormatting sqref="C86">
    <cfRule type="expression" dxfId="458" priority="18">
      <formula>ISBLANK(C86)</formula>
    </cfRule>
  </conditionalFormatting>
  <conditionalFormatting sqref="C86">
    <cfRule type="expression" dxfId="457" priority="17">
      <formula>$A86&lt;&gt;""</formula>
    </cfRule>
  </conditionalFormatting>
  <conditionalFormatting sqref="C89">
    <cfRule type="expression" dxfId="456" priority="16">
      <formula>ISBLANK(C89)</formula>
    </cfRule>
  </conditionalFormatting>
  <conditionalFormatting sqref="C89">
    <cfRule type="expression" dxfId="455" priority="15">
      <formula>$A89&lt;&gt;""</formula>
    </cfRule>
  </conditionalFormatting>
  <conditionalFormatting sqref="C92">
    <cfRule type="expression" dxfId="454" priority="14">
      <formula>ISBLANK(C92)</formula>
    </cfRule>
  </conditionalFormatting>
  <conditionalFormatting sqref="C92">
    <cfRule type="expression" dxfId="453" priority="13">
      <formula>$A92&lt;&gt;""</formula>
    </cfRule>
  </conditionalFormatting>
  <conditionalFormatting sqref="C95">
    <cfRule type="expression" dxfId="452" priority="12">
      <formula>ISBLANK(C95)</formula>
    </cfRule>
  </conditionalFormatting>
  <conditionalFormatting sqref="C95">
    <cfRule type="expression" dxfId="451" priority="11">
      <formula>$A95&lt;&gt;""</formula>
    </cfRule>
  </conditionalFormatting>
  <conditionalFormatting sqref="C98">
    <cfRule type="expression" dxfId="450" priority="10">
      <formula>ISBLANK(C98)</formula>
    </cfRule>
  </conditionalFormatting>
  <conditionalFormatting sqref="C98">
    <cfRule type="expression" dxfId="449" priority="9">
      <formula>$A98&lt;&gt;""</formula>
    </cfRule>
  </conditionalFormatting>
  <conditionalFormatting sqref="C103">
    <cfRule type="expression" dxfId="448" priority="8">
      <formula>ISBLANK(C103)</formula>
    </cfRule>
  </conditionalFormatting>
  <conditionalFormatting sqref="C103">
    <cfRule type="expression" dxfId="447" priority="7">
      <formula>$A103&lt;&gt;""</formula>
    </cfRule>
  </conditionalFormatting>
  <conditionalFormatting sqref="C84">
    <cfRule type="expression" dxfId="446" priority="6">
      <formula>ISBLANK(C84)</formula>
    </cfRule>
  </conditionalFormatting>
  <conditionalFormatting sqref="C84">
    <cfRule type="expression" dxfId="445" priority="5">
      <formula>$A84&lt;&gt;""</formula>
    </cfRule>
  </conditionalFormatting>
  <conditionalFormatting sqref="C68">
    <cfRule type="expression" dxfId="444" priority="4">
      <formula>ISBLANK(C68)</formula>
    </cfRule>
  </conditionalFormatting>
  <conditionalFormatting sqref="C68">
    <cfRule type="expression" dxfId="443" priority="3">
      <formula>$A68&lt;&gt;""</formula>
    </cfRule>
  </conditionalFormatting>
  <conditionalFormatting sqref="C57">
    <cfRule type="expression" dxfId="442" priority="2">
      <formula>ISBLANK(C57)</formula>
    </cfRule>
  </conditionalFormatting>
  <conditionalFormatting sqref="C57">
    <cfRule type="expression" dxfId="441" priority="1">
      <formula>$A57&lt;&gt;""</formula>
    </cfRule>
  </conditionalFormatting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743F6-C5D6-48DB-8423-C99DCFD4A70A}">
  <sheetPr>
    <tabColor theme="4" tint="0.79998168889431442"/>
  </sheetPr>
  <dimension ref="A1:AA94"/>
  <sheetViews>
    <sheetView zoomScaleNormal="100" workbookViewId="0">
      <selection activeCell="G90" sqref="G90"/>
    </sheetView>
  </sheetViews>
  <sheetFormatPr defaultColWidth="9.140625" defaultRowHeight="15" x14ac:dyDescent="0.25"/>
  <cols>
    <col min="1" max="1" width="10.85546875" style="185" customWidth="1"/>
    <col min="2" max="2" width="16.85546875" style="185" customWidth="1"/>
    <col min="3" max="3" width="10.85546875" style="185" customWidth="1"/>
    <col min="4" max="4" width="22.5703125" style="185" customWidth="1"/>
    <col min="5" max="5" width="12.85546875" style="185" customWidth="1"/>
    <col min="6" max="6" width="18" style="185" customWidth="1"/>
    <col min="7" max="7" width="19.140625" style="266" customWidth="1"/>
    <col min="8" max="8" width="9.140625" style="270"/>
    <col min="9" max="9" width="10.85546875" style="185" customWidth="1"/>
    <col min="10" max="11" width="9.140625" style="185" customWidth="1"/>
    <col min="12" max="12" width="15.5703125" style="185" customWidth="1"/>
    <col min="13" max="16" width="9.140625" style="185" customWidth="1"/>
    <col min="17" max="19" width="2.7109375" style="185" customWidth="1"/>
    <col min="20" max="20" width="2.85546875" style="185" customWidth="1"/>
    <col min="21" max="22" width="2.140625" style="185" customWidth="1"/>
    <col min="23" max="23" width="54.85546875" style="185" customWidth="1"/>
    <col min="24" max="16384" width="9.140625" style="185"/>
  </cols>
  <sheetData>
    <row r="1" spans="1:27" ht="15" customHeight="1" thickBot="1" x14ac:dyDescent="0.3">
      <c r="Q1" s="316" t="s">
        <v>664</v>
      </c>
      <c r="R1" s="316"/>
      <c r="S1" s="316"/>
      <c r="T1" s="316"/>
      <c r="U1" s="316"/>
      <c r="V1" s="316"/>
    </row>
    <row r="2" spans="1:27" ht="45" x14ac:dyDescent="0.25">
      <c r="A2" s="147" t="s">
        <v>258</v>
      </c>
      <c r="B2" s="148" t="s">
        <v>259</v>
      </c>
      <c r="C2" s="148" t="s">
        <v>260</v>
      </c>
      <c r="D2" s="148" t="s">
        <v>261</v>
      </c>
      <c r="E2" s="149" t="s">
        <v>262</v>
      </c>
      <c r="F2" s="147" t="s">
        <v>263</v>
      </c>
      <c r="G2" s="267" t="s">
        <v>264</v>
      </c>
      <c r="H2" s="271" t="s">
        <v>265</v>
      </c>
      <c r="I2" s="151" t="s">
        <v>266</v>
      </c>
      <c r="J2" s="151" t="s">
        <v>267</v>
      </c>
      <c r="K2" s="152" t="s">
        <v>268</v>
      </c>
      <c r="L2" s="152" t="s">
        <v>269</v>
      </c>
      <c r="M2" s="153" t="s">
        <v>270</v>
      </c>
      <c r="N2" s="154" t="s">
        <v>271</v>
      </c>
      <c r="O2" s="154" t="s">
        <v>272</v>
      </c>
      <c r="P2" s="216"/>
      <c r="Q2" s="221" t="s">
        <v>665</v>
      </c>
      <c r="R2" s="222" t="s">
        <v>666</v>
      </c>
      <c r="S2" s="222" t="s">
        <v>667</v>
      </c>
      <c r="T2" s="222" t="s">
        <v>668</v>
      </c>
      <c r="U2" s="222" t="s">
        <v>669</v>
      </c>
      <c r="V2" s="223" t="s">
        <v>670</v>
      </c>
      <c r="W2" s="219" t="s">
        <v>183</v>
      </c>
    </row>
    <row r="3" spans="1:27" x14ac:dyDescent="0.25">
      <c r="A3" s="155" t="s">
        <v>10</v>
      </c>
      <c r="B3" s="177" t="s">
        <v>273</v>
      </c>
      <c r="C3" s="177"/>
      <c r="D3" s="155" t="s">
        <v>355</v>
      </c>
      <c r="E3" s="155" t="str">
        <f>PGI!D33</f>
        <v>Methanol</v>
      </c>
      <c r="F3" s="155" t="s">
        <v>274</v>
      </c>
      <c r="G3" s="172">
        <f>PGI!U33</f>
        <v>6.9182745694475516</v>
      </c>
      <c r="H3" s="171"/>
      <c r="I3" s="155" t="s">
        <v>333</v>
      </c>
      <c r="J3" s="155"/>
      <c r="K3" s="155"/>
      <c r="L3" s="155">
        <v>2</v>
      </c>
      <c r="M3" s="155">
        <v>1</v>
      </c>
      <c r="N3" s="155"/>
      <c r="O3" s="155"/>
      <c r="P3" s="217"/>
      <c r="Q3" s="224"/>
      <c r="R3" s="177"/>
      <c r="S3" s="177"/>
      <c r="T3" s="177" t="s">
        <v>644</v>
      </c>
      <c r="U3" s="177"/>
      <c r="V3" s="225"/>
      <c r="W3" s="220" t="s">
        <v>579</v>
      </c>
      <c r="Z3" s="185" t="s">
        <v>881</v>
      </c>
      <c r="AA3" s="185" t="s">
        <v>882</v>
      </c>
    </row>
    <row r="4" spans="1:27" x14ac:dyDescent="0.25">
      <c r="A4" s="155"/>
      <c r="B4" s="177"/>
      <c r="C4" s="177"/>
      <c r="D4" s="155"/>
      <c r="E4" s="155"/>
      <c r="F4" s="155" t="s">
        <v>275</v>
      </c>
      <c r="G4" s="172" t="s">
        <v>323</v>
      </c>
      <c r="H4" s="171"/>
      <c r="I4" s="155"/>
      <c r="J4" s="155"/>
      <c r="K4" s="157"/>
      <c r="L4" s="157"/>
      <c r="M4" s="157"/>
      <c r="N4" s="157"/>
      <c r="O4" s="157"/>
      <c r="P4" s="218"/>
      <c r="Q4" s="224"/>
      <c r="R4" s="177"/>
      <c r="S4" s="177"/>
      <c r="T4" s="177"/>
      <c r="U4" s="177" t="s">
        <v>644</v>
      </c>
      <c r="V4" s="225"/>
      <c r="W4" s="220"/>
      <c r="Y4" s="185" t="str">
        <f>E8</f>
        <v>IP.2</v>
      </c>
      <c r="Z4" s="270">
        <f>G8</f>
        <v>4.3511160814135543</v>
      </c>
    </row>
    <row r="5" spans="1:27" x14ac:dyDescent="0.25">
      <c r="A5" s="155"/>
      <c r="B5" s="177"/>
      <c r="C5" s="177"/>
      <c r="D5" s="155"/>
      <c r="E5" s="155"/>
      <c r="F5" s="155" t="s">
        <v>277</v>
      </c>
      <c r="G5" s="172" t="s">
        <v>326</v>
      </c>
      <c r="H5" s="171"/>
      <c r="I5" s="155"/>
      <c r="J5" s="155"/>
      <c r="K5" s="157"/>
      <c r="L5" s="157"/>
      <c r="M5" s="157"/>
      <c r="N5" s="157"/>
      <c r="O5" s="157"/>
      <c r="P5" s="218"/>
      <c r="Q5" s="224"/>
      <c r="R5" s="177"/>
      <c r="S5" s="177"/>
      <c r="T5" s="177"/>
      <c r="U5" s="177" t="s">
        <v>644</v>
      </c>
      <c r="V5" s="225"/>
      <c r="W5" s="220"/>
      <c r="Y5" s="185" t="str">
        <f>E3</f>
        <v>Methanol</v>
      </c>
      <c r="Z5" s="270">
        <f>G3</f>
        <v>6.9182745694475516</v>
      </c>
    </row>
    <row r="6" spans="1:27" x14ac:dyDescent="0.25">
      <c r="A6" s="155"/>
      <c r="B6" s="177"/>
      <c r="C6" s="177"/>
      <c r="D6" s="155"/>
      <c r="E6" s="155"/>
      <c r="F6" s="155" t="s">
        <v>278</v>
      </c>
      <c r="G6" s="172" t="s">
        <v>305</v>
      </c>
      <c r="H6" s="171"/>
      <c r="I6" s="155"/>
      <c r="J6" s="155"/>
      <c r="K6" s="157"/>
      <c r="L6" s="157"/>
      <c r="M6" s="157"/>
      <c r="N6" s="157"/>
      <c r="O6" s="157"/>
      <c r="P6" s="218"/>
      <c r="Q6" s="224"/>
      <c r="R6" s="177"/>
      <c r="S6" s="177"/>
      <c r="T6" s="177" t="s">
        <v>644</v>
      </c>
      <c r="U6" s="177"/>
      <c r="V6" s="225"/>
      <c r="W6" s="220"/>
      <c r="Y6" s="185" t="str">
        <f>E13</f>
        <v>Hydrochloric acid 35%</v>
      </c>
      <c r="Z6" s="270">
        <f>G13</f>
        <v>26.106696488481326</v>
      </c>
    </row>
    <row r="7" spans="1:27" x14ac:dyDescent="0.25">
      <c r="A7" s="155"/>
      <c r="B7" s="177"/>
      <c r="C7" s="177"/>
      <c r="D7" s="155"/>
      <c r="E7" s="155"/>
      <c r="F7" s="155" t="s">
        <v>279</v>
      </c>
      <c r="G7" s="172" t="s">
        <v>340</v>
      </c>
      <c r="H7" s="171"/>
      <c r="I7" s="155"/>
      <c r="J7" s="155"/>
      <c r="K7" s="157"/>
      <c r="L7" s="157"/>
      <c r="M7" s="157"/>
      <c r="N7" s="157"/>
      <c r="O7" s="157"/>
      <c r="P7" s="218"/>
      <c r="Q7" s="224"/>
      <c r="R7" s="177"/>
      <c r="S7" s="177"/>
      <c r="T7" s="177"/>
      <c r="U7" s="177" t="s">
        <v>644</v>
      </c>
      <c r="V7" s="225"/>
      <c r="W7" s="220"/>
      <c r="Y7" s="185" t="str">
        <f>E36</f>
        <v>Sodium hydroxide</v>
      </c>
      <c r="Z7" s="270">
        <f>G36</f>
        <v>7.6144531424737201</v>
      </c>
    </row>
    <row r="8" spans="1:27" x14ac:dyDescent="0.25">
      <c r="A8" s="155" t="s">
        <v>10</v>
      </c>
      <c r="B8" s="177" t="s">
        <v>273</v>
      </c>
      <c r="C8" s="177"/>
      <c r="D8" s="155" t="s">
        <v>364</v>
      </c>
      <c r="E8" s="155" t="str">
        <f>PGI!D30</f>
        <v>IP.2</v>
      </c>
      <c r="F8" s="155" t="s">
        <v>274</v>
      </c>
      <c r="G8" s="268">
        <f>PGI!U30</f>
        <v>4.3511160814135543</v>
      </c>
      <c r="H8" s="171"/>
      <c r="I8" s="155" t="s">
        <v>333</v>
      </c>
      <c r="J8" s="155"/>
      <c r="K8" s="155"/>
      <c r="L8" s="155">
        <v>2</v>
      </c>
      <c r="M8" s="155">
        <v>1</v>
      </c>
      <c r="N8" s="155"/>
      <c r="O8" s="155"/>
      <c r="P8" s="217"/>
      <c r="Q8" s="224"/>
      <c r="R8" s="177"/>
      <c r="S8" s="177"/>
      <c r="T8" s="177" t="s">
        <v>644</v>
      </c>
      <c r="U8" s="177"/>
      <c r="V8" s="225"/>
      <c r="W8" s="220"/>
      <c r="Y8" s="185" t="str">
        <f>E64</f>
        <v>2-propanol</v>
      </c>
      <c r="Z8" s="270">
        <f>G64+G72</f>
        <v>4.3511160814135543</v>
      </c>
    </row>
    <row r="9" spans="1:27" x14ac:dyDescent="0.25">
      <c r="A9" s="155"/>
      <c r="B9" s="177"/>
      <c r="C9" s="177"/>
      <c r="D9" s="155"/>
      <c r="E9" s="155"/>
      <c r="F9" s="155" t="s">
        <v>275</v>
      </c>
      <c r="G9" s="172" t="s">
        <v>339</v>
      </c>
      <c r="H9" s="171"/>
      <c r="I9" s="155"/>
      <c r="J9" s="155"/>
      <c r="K9" s="157"/>
      <c r="L9" s="157"/>
      <c r="M9" s="157"/>
      <c r="N9" s="157"/>
      <c r="O9" s="157"/>
      <c r="P9" s="218"/>
      <c r="Q9" s="224"/>
      <c r="R9" s="177"/>
      <c r="S9" s="177"/>
      <c r="T9" s="177"/>
      <c r="U9" s="177" t="s">
        <v>644</v>
      </c>
      <c r="V9" s="225"/>
      <c r="W9" s="220"/>
    </row>
    <row r="10" spans="1:27" x14ac:dyDescent="0.25">
      <c r="A10" s="155"/>
      <c r="B10" s="177"/>
      <c r="C10" s="177"/>
      <c r="D10" s="155"/>
      <c r="E10" s="155"/>
      <c r="F10" s="155" t="s">
        <v>277</v>
      </c>
      <c r="G10" s="172" t="s">
        <v>339</v>
      </c>
      <c r="H10" s="171"/>
      <c r="I10" s="155"/>
      <c r="J10" s="155"/>
      <c r="K10" s="157"/>
      <c r="L10" s="157"/>
      <c r="M10" s="157"/>
      <c r="N10" s="157"/>
      <c r="O10" s="157"/>
      <c r="P10" s="218"/>
      <c r="Q10" s="224"/>
      <c r="R10" s="177"/>
      <c r="S10" s="177"/>
      <c r="T10" s="177"/>
      <c r="U10" s="177" t="s">
        <v>644</v>
      </c>
      <c r="V10" s="225"/>
      <c r="W10" s="220"/>
    </row>
    <row r="11" spans="1:27" x14ac:dyDescent="0.25">
      <c r="A11" s="155"/>
      <c r="B11" s="177"/>
      <c r="C11" s="177"/>
      <c r="D11" s="155"/>
      <c r="E11" s="155"/>
      <c r="F11" s="155" t="s">
        <v>278</v>
      </c>
      <c r="G11" s="172" t="s">
        <v>305</v>
      </c>
      <c r="H11" s="171"/>
      <c r="I11" s="155"/>
      <c r="J11" s="155"/>
      <c r="K11" s="157"/>
      <c r="L11" s="157"/>
      <c r="M11" s="157"/>
      <c r="N11" s="157"/>
      <c r="O11" s="157"/>
      <c r="P11" s="218"/>
      <c r="Q11" s="224"/>
      <c r="R11" s="177"/>
      <c r="S11" s="177"/>
      <c r="T11" s="177" t="s">
        <v>644</v>
      </c>
      <c r="U11" s="177"/>
      <c r="V11" s="225"/>
      <c r="W11" s="220"/>
    </row>
    <row r="12" spans="1:27" x14ac:dyDescent="0.25">
      <c r="A12" s="155"/>
      <c r="B12" s="177"/>
      <c r="C12" s="177"/>
      <c r="D12" s="155"/>
      <c r="E12" s="155"/>
      <c r="F12" s="155" t="s">
        <v>279</v>
      </c>
      <c r="G12" s="172" t="s">
        <v>340</v>
      </c>
      <c r="H12" s="171"/>
      <c r="I12" s="155"/>
      <c r="J12" s="155"/>
      <c r="K12" s="157"/>
      <c r="L12" s="157"/>
      <c r="M12" s="157"/>
      <c r="N12" s="157"/>
      <c r="O12" s="157"/>
      <c r="P12" s="218"/>
      <c r="Q12" s="224"/>
      <c r="R12" s="177"/>
      <c r="S12" s="177"/>
      <c r="T12" s="177"/>
      <c r="U12" s="177" t="s">
        <v>644</v>
      </c>
      <c r="V12" s="225"/>
      <c r="W12" s="220"/>
    </row>
    <row r="13" spans="1:27" ht="30" x14ac:dyDescent="0.25">
      <c r="A13" s="155" t="s">
        <v>10</v>
      </c>
      <c r="B13" s="177" t="s">
        <v>273</v>
      </c>
      <c r="C13" s="177"/>
      <c r="D13" s="155" t="s">
        <v>354</v>
      </c>
      <c r="E13" s="155" t="str">
        <f>PGI!D32</f>
        <v>Hydrochloric acid 35%</v>
      </c>
      <c r="F13" s="155" t="s">
        <v>274</v>
      </c>
      <c r="G13" s="172">
        <f>PGI!U32</f>
        <v>26.106696488481326</v>
      </c>
      <c r="H13" s="171">
        <f>20/2.2*G8</f>
        <v>39.555600740123218</v>
      </c>
      <c r="I13" s="155" t="s">
        <v>333</v>
      </c>
      <c r="J13" s="155"/>
      <c r="K13" s="155"/>
      <c r="L13" s="155">
        <v>2</v>
      </c>
      <c r="M13" s="155">
        <v>1</v>
      </c>
      <c r="N13" s="155"/>
      <c r="O13" s="155"/>
      <c r="P13" s="217"/>
      <c r="Q13" s="224"/>
      <c r="R13" s="177"/>
      <c r="S13" s="177"/>
      <c r="T13" s="177" t="s">
        <v>644</v>
      </c>
      <c r="U13" s="177"/>
      <c r="V13" s="225"/>
      <c r="W13" s="220" t="s">
        <v>580</v>
      </c>
    </row>
    <row r="14" spans="1:27" x14ac:dyDescent="0.25">
      <c r="A14" s="155"/>
      <c r="B14" s="177"/>
      <c r="C14" s="177"/>
      <c r="D14" s="155"/>
      <c r="E14" s="155"/>
      <c r="F14" s="155" t="s">
        <v>275</v>
      </c>
      <c r="G14" s="172" t="s">
        <v>323</v>
      </c>
      <c r="H14" s="171"/>
      <c r="I14" s="155"/>
      <c r="J14" s="155"/>
      <c r="K14" s="155"/>
      <c r="L14" s="155"/>
      <c r="M14" s="155"/>
      <c r="N14" s="155"/>
      <c r="O14" s="155"/>
      <c r="P14" s="217"/>
      <c r="Q14" s="224"/>
      <c r="R14" s="177"/>
      <c r="S14" s="177"/>
      <c r="T14" s="177"/>
      <c r="U14" s="177" t="s">
        <v>644</v>
      </c>
      <c r="V14" s="225"/>
      <c r="W14" s="220"/>
    </row>
    <row r="15" spans="1:27" x14ac:dyDescent="0.25">
      <c r="A15" s="155"/>
      <c r="B15" s="177"/>
      <c r="C15" s="177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5"/>
      <c r="L15" s="155"/>
      <c r="M15" s="155"/>
      <c r="N15" s="155"/>
      <c r="O15" s="155"/>
      <c r="P15" s="217"/>
      <c r="Q15" s="224"/>
      <c r="R15" s="177"/>
      <c r="S15" s="177"/>
      <c r="T15" s="177"/>
      <c r="U15" s="177" t="s">
        <v>644</v>
      </c>
      <c r="V15" s="225"/>
      <c r="W15" s="220"/>
    </row>
    <row r="16" spans="1:27" x14ac:dyDescent="0.25">
      <c r="A16" s="155"/>
      <c r="B16" s="177"/>
      <c r="C16" s="177"/>
      <c r="D16" s="155"/>
      <c r="E16" s="155"/>
      <c r="F16" s="155" t="s">
        <v>278</v>
      </c>
      <c r="G16" s="172" t="s">
        <v>305</v>
      </c>
      <c r="H16" s="171"/>
      <c r="I16" s="155"/>
      <c r="J16" s="155"/>
      <c r="K16" s="155"/>
      <c r="L16" s="155"/>
      <c r="M16" s="155"/>
      <c r="N16" s="155"/>
      <c r="O16" s="155"/>
      <c r="P16" s="217"/>
      <c r="Q16" s="224"/>
      <c r="R16" s="177"/>
      <c r="S16" s="177"/>
      <c r="T16" s="177" t="s">
        <v>644</v>
      </c>
      <c r="U16" s="177"/>
      <c r="V16" s="225"/>
      <c r="W16" s="220"/>
    </row>
    <row r="17" spans="1:23" ht="45" x14ac:dyDescent="0.25">
      <c r="A17" s="155"/>
      <c r="B17" s="177"/>
      <c r="C17" s="177"/>
      <c r="D17" s="155"/>
      <c r="E17" s="155"/>
      <c r="F17" s="155" t="s">
        <v>279</v>
      </c>
      <c r="G17" s="172" t="s">
        <v>827</v>
      </c>
      <c r="H17" s="171"/>
      <c r="I17" s="155"/>
      <c r="J17" s="155"/>
      <c r="K17" s="155"/>
      <c r="L17" s="155"/>
      <c r="M17" s="155"/>
      <c r="N17" s="155"/>
      <c r="O17" s="155"/>
      <c r="P17" s="217"/>
      <c r="Q17" s="224"/>
      <c r="R17" s="177"/>
      <c r="S17" s="177"/>
      <c r="T17" s="177"/>
      <c r="U17" s="177" t="s">
        <v>644</v>
      </c>
      <c r="V17" s="225"/>
      <c r="W17" s="220"/>
    </row>
    <row r="18" spans="1:23" x14ac:dyDescent="0.25">
      <c r="A18" s="155" t="s">
        <v>10</v>
      </c>
      <c r="B18" s="186" t="s">
        <v>338</v>
      </c>
      <c r="C18" s="186"/>
      <c r="D18" s="155" t="s">
        <v>341</v>
      </c>
      <c r="E18" s="155"/>
      <c r="F18" s="155" t="s">
        <v>290</v>
      </c>
      <c r="G18" s="172" t="s">
        <v>953</v>
      </c>
      <c r="H18" s="171"/>
      <c r="I18" s="155" t="s">
        <v>333</v>
      </c>
      <c r="J18" s="155"/>
      <c r="K18" s="155"/>
      <c r="L18" s="155">
        <v>1</v>
      </c>
      <c r="M18" s="155">
        <v>1</v>
      </c>
      <c r="N18" s="155"/>
      <c r="O18" s="155"/>
      <c r="P18" s="217"/>
      <c r="Q18" s="224"/>
      <c r="R18" s="177"/>
      <c r="S18" s="177"/>
      <c r="T18" s="177"/>
      <c r="U18" s="177" t="s">
        <v>644</v>
      </c>
      <c r="V18" s="225"/>
      <c r="W18" s="220"/>
    </row>
    <row r="19" spans="1:23" x14ac:dyDescent="0.25">
      <c r="A19" s="155"/>
      <c r="B19" s="155"/>
      <c r="C19" s="155"/>
      <c r="D19" s="155"/>
      <c r="E19" s="155"/>
      <c r="F19" s="155" t="s">
        <v>291</v>
      </c>
      <c r="H19" s="171"/>
      <c r="I19" s="155"/>
      <c r="J19" s="155"/>
      <c r="K19" s="155"/>
      <c r="L19" s="155"/>
      <c r="M19" s="155"/>
      <c r="N19" s="155"/>
      <c r="O19" s="155"/>
      <c r="P19" s="217"/>
      <c r="Q19" s="224"/>
      <c r="R19" s="177"/>
      <c r="S19" s="177"/>
      <c r="T19" s="177" t="s">
        <v>644</v>
      </c>
      <c r="U19" s="177"/>
      <c r="V19" s="225"/>
      <c r="W19" s="220"/>
    </row>
    <row r="20" spans="1:23" ht="60" x14ac:dyDescent="0.25">
      <c r="A20" s="155"/>
      <c r="B20" s="155"/>
      <c r="C20" s="155"/>
      <c r="D20" s="155"/>
      <c r="E20" s="155"/>
      <c r="F20" s="155" t="s">
        <v>292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155"/>
      <c r="P20" s="217"/>
      <c r="Q20" s="224"/>
      <c r="R20" s="177"/>
      <c r="S20" s="177"/>
      <c r="T20" s="177"/>
      <c r="U20" s="177" t="s">
        <v>644</v>
      </c>
      <c r="V20" s="225"/>
      <c r="W20" s="220"/>
    </row>
    <row r="21" spans="1:23" x14ac:dyDescent="0.25">
      <c r="A21" s="155"/>
      <c r="B21" s="155"/>
      <c r="C21" s="155"/>
      <c r="D21" s="155"/>
      <c r="E21" s="155"/>
      <c r="F21" s="155" t="s">
        <v>278</v>
      </c>
      <c r="G21" s="172" t="s">
        <v>305</v>
      </c>
      <c r="H21" s="171"/>
      <c r="I21" s="155"/>
      <c r="J21" s="155"/>
      <c r="K21" s="155"/>
      <c r="L21" s="155"/>
      <c r="M21" s="155"/>
      <c r="N21" s="155"/>
      <c r="O21" s="155"/>
      <c r="P21" s="217"/>
      <c r="Q21" s="224"/>
      <c r="R21" s="177"/>
      <c r="S21" s="177"/>
      <c r="T21" s="177" t="s">
        <v>644</v>
      </c>
      <c r="U21" s="177"/>
      <c r="V21" s="225"/>
      <c r="W21" s="220"/>
    </row>
    <row r="22" spans="1:23" ht="30" x14ac:dyDescent="0.25">
      <c r="A22" s="155" t="s">
        <v>10</v>
      </c>
      <c r="B22" s="155" t="s">
        <v>309</v>
      </c>
      <c r="C22" s="155"/>
      <c r="D22" s="155" t="s">
        <v>342</v>
      </c>
      <c r="E22" s="155"/>
      <c r="F22" s="155" t="s">
        <v>290</v>
      </c>
      <c r="G22" s="172" t="s">
        <v>953</v>
      </c>
      <c r="H22" s="171"/>
      <c r="I22" s="155" t="s">
        <v>333</v>
      </c>
      <c r="J22" s="155"/>
      <c r="K22" s="155"/>
      <c r="L22" s="155">
        <v>1</v>
      </c>
      <c r="M22" s="155">
        <v>1</v>
      </c>
      <c r="N22" s="155"/>
      <c r="O22" s="155"/>
      <c r="P22" s="217"/>
      <c r="Q22" s="224"/>
      <c r="R22" s="177"/>
      <c r="S22" s="177"/>
      <c r="T22" s="177" t="s">
        <v>644</v>
      </c>
      <c r="U22" s="177"/>
      <c r="V22" s="225"/>
      <c r="W22" s="220" t="s">
        <v>582</v>
      </c>
    </row>
    <row r="23" spans="1:23" x14ac:dyDescent="0.25">
      <c r="A23" s="155"/>
      <c r="B23" s="155"/>
      <c r="C23" s="155"/>
      <c r="D23" s="155"/>
      <c r="E23" s="155"/>
      <c r="F23" s="155" t="s">
        <v>291</v>
      </c>
      <c r="G23" s="172" t="s">
        <v>581</v>
      </c>
      <c r="H23" s="171"/>
      <c r="I23" s="155"/>
      <c r="J23" s="155"/>
      <c r="K23" s="155"/>
      <c r="L23" s="155"/>
      <c r="M23" s="155"/>
      <c r="N23" s="155"/>
      <c r="O23" s="155"/>
      <c r="P23" s="217"/>
      <c r="Q23" s="224"/>
      <c r="R23" s="177"/>
      <c r="S23" s="177"/>
      <c r="T23" s="177" t="s">
        <v>644</v>
      </c>
      <c r="U23" s="177"/>
      <c r="V23" s="225"/>
      <c r="W23" s="220"/>
    </row>
    <row r="24" spans="1:23" x14ac:dyDescent="0.25">
      <c r="A24" s="155"/>
      <c r="B24" s="155"/>
      <c r="C24" s="155"/>
      <c r="D24" s="155"/>
      <c r="E24" s="155"/>
      <c r="F24" s="155" t="s">
        <v>278</v>
      </c>
      <c r="G24" s="172" t="s">
        <v>305</v>
      </c>
      <c r="H24" s="171"/>
      <c r="I24" s="155"/>
      <c r="J24" s="155"/>
      <c r="K24" s="155"/>
      <c r="L24" s="155"/>
      <c r="M24" s="155"/>
      <c r="N24" s="155"/>
      <c r="O24" s="155"/>
      <c r="P24" s="217"/>
      <c r="Q24" s="224"/>
      <c r="R24" s="177"/>
      <c r="S24" s="177"/>
      <c r="T24" s="177" t="s">
        <v>644</v>
      </c>
      <c r="U24" s="177"/>
      <c r="V24" s="225"/>
      <c r="W24" s="220"/>
    </row>
    <row r="25" spans="1:23" ht="30" x14ac:dyDescent="0.25">
      <c r="A25" s="155"/>
      <c r="B25" s="155"/>
      <c r="C25" s="155"/>
      <c r="D25" s="155"/>
      <c r="E25" s="155"/>
      <c r="F25" s="155" t="s">
        <v>284</v>
      </c>
      <c r="G25" s="172" t="s">
        <v>829</v>
      </c>
      <c r="H25" s="171"/>
      <c r="I25" s="155"/>
      <c r="J25" s="155"/>
      <c r="K25" s="155"/>
      <c r="L25" s="155"/>
      <c r="M25" s="155"/>
      <c r="N25" s="155"/>
      <c r="O25" s="155"/>
      <c r="P25" s="217"/>
      <c r="Q25" s="224"/>
      <c r="R25" s="177"/>
      <c r="S25" s="177"/>
      <c r="T25" s="177" t="s">
        <v>644</v>
      </c>
      <c r="U25" s="177"/>
      <c r="V25" s="225"/>
      <c r="W25" s="220" t="s">
        <v>828</v>
      </c>
    </row>
    <row r="26" spans="1:23" x14ac:dyDescent="0.25">
      <c r="A26" s="155"/>
      <c r="B26" s="155"/>
      <c r="C26" s="155"/>
      <c r="D26" s="155"/>
      <c r="E26" s="155"/>
      <c r="F26" s="155" t="s">
        <v>310</v>
      </c>
      <c r="G26" s="172" t="s">
        <v>437</v>
      </c>
      <c r="H26" s="171"/>
      <c r="I26" s="155"/>
      <c r="J26" s="155"/>
      <c r="K26" s="155"/>
      <c r="L26" s="155"/>
      <c r="M26" s="155"/>
      <c r="N26" s="155"/>
      <c r="O26" s="155"/>
      <c r="P26" s="217"/>
      <c r="Q26" s="224"/>
      <c r="R26" s="177"/>
      <c r="S26" s="177"/>
      <c r="T26" s="177"/>
      <c r="U26" s="177" t="s">
        <v>644</v>
      </c>
      <c r="V26" s="225"/>
      <c r="W26" s="220" t="s">
        <v>867</v>
      </c>
    </row>
    <row r="27" spans="1:23" x14ac:dyDescent="0.25">
      <c r="A27" s="155" t="s">
        <v>10</v>
      </c>
      <c r="B27" s="159" t="s">
        <v>315</v>
      </c>
      <c r="C27" s="155"/>
      <c r="D27" s="159" t="s">
        <v>343</v>
      </c>
      <c r="E27" s="155"/>
      <c r="F27" s="155" t="s">
        <v>312</v>
      </c>
      <c r="G27" s="172"/>
      <c r="H27" s="171"/>
      <c r="I27" s="155" t="s">
        <v>333</v>
      </c>
      <c r="J27" s="155"/>
      <c r="K27" s="155"/>
      <c r="L27" s="155">
        <v>1</v>
      </c>
      <c r="M27" s="155">
        <v>1</v>
      </c>
      <c r="N27" s="155"/>
      <c r="O27" s="155"/>
      <c r="P27" s="217"/>
      <c r="Q27" s="224"/>
      <c r="R27" s="177"/>
      <c r="S27" s="177"/>
      <c r="T27" s="177"/>
      <c r="U27" s="177"/>
      <c r="V27" s="225"/>
      <c r="W27" s="220" t="s">
        <v>344</v>
      </c>
    </row>
    <row r="28" spans="1:23" x14ac:dyDescent="0.25">
      <c r="A28" s="155"/>
      <c r="B28" s="155"/>
      <c r="C28" s="155"/>
      <c r="D28" s="155"/>
      <c r="E28" s="155"/>
      <c r="F28" s="155" t="s">
        <v>313</v>
      </c>
      <c r="G28" s="172" t="s">
        <v>831</v>
      </c>
      <c r="H28" s="171"/>
      <c r="I28" s="155"/>
      <c r="J28" s="155"/>
      <c r="K28" s="155"/>
      <c r="L28" s="155"/>
      <c r="M28" s="155"/>
      <c r="N28" s="155"/>
      <c r="O28" s="155"/>
      <c r="P28" s="217"/>
      <c r="Q28" s="224"/>
      <c r="R28" s="177"/>
      <c r="S28" s="177"/>
      <c r="T28" s="177" t="s">
        <v>644</v>
      </c>
      <c r="U28" s="177"/>
      <c r="V28" s="225"/>
      <c r="W28" s="220"/>
    </row>
    <row r="29" spans="1:23" ht="60" x14ac:dyDescent="0.25">
      <c r="A29" s="155"/>
      <c r="B29" s="155"/>
      <c r="C29" s="155"/>
      <c r="D29" s="155"/>
      <c r="E29" s="155"/>
      <c r="F29" s="155" t="s">
        <v>314</v>
      </c>
      <c r="G29" s="172" t="s">
        <v>832</v>
      </c>
      <c r="H29" s="171"/>
      <c r="I29" s="155"/>
      <c r="J29" s="155"/>
      <c r="K29" s="155"/>
      <c r="L29" s="155"/>
      <c r="M29" s="155"/>
      <c r="N29" s="155"/>
      <c r="O29" s="155"/>
      <c r="P29" s="217"/>
      <c r="Q29" s="224"/>
      <c r="R29" s="177"/>
      <c r="S29" s="177"/>
      <c r="T29" s="177"/>
      <c r="U29" s="177" t="s">
        <v>644</v>
      </c>
      <c r="V29" s="225"/>
      <c r="W29" s="220" t="s">
        <v>583</v>
      </c>
    </row>
    <row r="30" spans="1:23" x14ac:dyDescent="0.25">
      <c r="A30" s="155"/>
      <c r="B30" s="155"/>
      <c r="C30" s="155"/>
      <c r="D30" s="155"/>
      <c r="E30" s="155"/>
      <c r="F30" s="155" t="s">
        <v>357</v>
      </c>
      <c r="G30" s="172" t="s">
        <v>833</v>
      </c>
      <c r="H30" s="171"/>
      <c r="I30" s="155"/>
      <c r="J30" s="155"/>
      <c r="K30" s="155"/>
      <c r="L30" s="155"/>
      <c r="M30" s="155"/>
      <c r="N30" s="155"/>
      <c r="O30" s="155"/>
      <c r="P30" s="217"/>
      <c r="Q30" s="224"/>
      <c r="R30" s="177"/>
      <c r="S30" s="177"/>
      <c r="T30" s="177" t="s">
        <v>644</v>
      </c>
      <c r="U30" s="177"/>
      <c r="V30" s="225"/>
      <c r="W30" s="220"/>
    </row>
    <row r="31" spans="1:23" ht="30" x14ac:dyDescent="0.25">
      <c r="A31" s="155" t="s">
        <v>10</v>
      </c>
      <c r="B31" s="155" t="s">
        <v>338</v>
      </c>
      <c r="C31" s="155"/>
      <c r="D31" s="155" t="s">
        <v>345</v>
      </c>
      <c r="E31" s="155"/>
      <c r="F31" s="155" t="s">
        <v>290</v>
      </c>
      <c r="G31" s="172" t="s">
        <v>323</v>
      </c>
      <c r="H31" s="171"/>
      <c r="I31" s="155" t="s">
        <v>333</v>
      </c>
      <c r="J31" s="155"/>
      <c r="K31" s="155"/>
      <c r="L31" s="155">
        <v>1</v>
      </c>
      <c r="M31" s="155">
        <v>1</v>
      </c>
      <c r="N31" s="155"/>
      <c r="O31" s="155"/>
      <c r="P31" s="217"/>
      <c r="Q31" s="224"/>
      <c r="R31" s="177"/>
      <c r="S31" s="177"/>
      <c r="T31" s="177"/>
      <c r="U31" s="177" t="s">
        <v>644</v>
      </c>
      <c r="V31" s="225"/>
      <c r="W31" s="220"/>
    </row>
    <row r="32" spans="1:23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155"/>
      <c r="P32" s="217"/>
      <c r="Q32" s="224"/>
      <c r="R32" s="177"/>
      <c r="S32" s="177"/>
      <c r="T32" s="177" t="s">
        <v>644</v>
      </c>
      <c r="U32" s="177"/>
      <c r="V32" s="225"/>
      <c r="W32" s="220"/>
    </row>
    <row r="33" spans="1:23" ht="60" x14ac:dyDescent="0.25">
      <c r="A33" s="155"/>
      <c r="B33" s="155"/>
      <c r="C33" s="155"/>
      <c r="D33" s="155"/>
      <c r="E33" s="155"/>
      <c r="F33" s="155" t="s">
        <v>292</v>
      </c>
      <c r="G33" s="263" t="s">
        <v>954</v>
      </c>
      <c r="H33" s="171"/>
      <c r="I33" s="155"/>
      <c r="J33" s="155"/>
      <c r="K33" s="155"/>
      <c r="L33" s="155"/>
      <c r="M33" s="155"/>
      <c r="N33" s="155"/>
      <c r="O33" s="155"/>
      <c r="P33" s="217"/>
      <c r="Q33" s="224"/>
      <c r="R33" s="177"/>
      <c r="S33" s="177"/>
      <c r="T33" s="177"/>
      <c r="U33" s="177" t="s">
        <v>644</v>
      </c>
      <c r="V33" s="225"/>
      <c r="W33" s="220"/>
    </row>
    <row r="34" spans="1:23" x14ac:dyDescent="0.25">
      <c r="A34" s="155"/>
      <c r="B34" s="155"/>
      <c r="C34" s="155"/>
      <c r="D34" s="155"/>
      <c r="E34" s="155"/>
      <c r="F34" s="155" t="s">
        <v>278</v>
      </c>
      <c r="G34" s="172" t="s">
        <v>305</v>
      </c>
      <c r="H34" s="171"/>
      <c r="I34" s="155"/>
      <c r="J34" s="155"/>
      <c r="K34" s="155"/>
      <c r="L34" s="155"/>
      <c r="M34" s="155"/>
      <c r="N34" s="155"/>
      <c r="O34" s="155"/>
      <c r="P34" s="217"/>
      <c r="Q34" s="224"/>
      <c r="R34" s="177"/>
      <c r="S34" s="177"/>
      <c r="T34" s="177" t="s">
        <v>644</v>
      </c>
      <c r="U34" s="177"/>
      <c r="V34" s="225"/>
      <c r="W34" s="233"/>
    </row>
    <row r="35" spans="1:23" x14ac:dyDescent="0.25">
      <c r="A35" s="155"/>
      <c r="B35" s="155"/>
      <c r="C35" s="155"/>
      <c r="D35" s="155"/>
      <c r="E35" s="155"/>
      <c r="F35" s="155" t="s">
        <v>310</v>
      </c>
      <c r="G35" s="172" t="s">
        <v>438</v>
      </c>
      <c r="H35" s="171"/>
      <c r="I35" s="155"/>
      <c r="J35" s="155"/>
      <c r="K35" s="155"/>
      <c r="L35" s="155"/>
      <c r="M35" s="155"/>
      <c r="N35" s="155"/>
      <c r="O35" s="155"/>
      <c r="P35" s="217"/>
      <c r="Q35" s="224"/>
      <c r="R35" s="177"/>
      <c r="S35" s="177"/>
      <c r="T35" s="177"/>
      <c r="U35" s="177" t="s">
        <v>644</v>
      </c>
      <c r="V35" s="225"/>
      <c r="W35" s="220" t="s">
        <v>830</v>
      </c>
    </row>
    <row r="36" spans="1:23" ht="45" x14ac:dyDescent="0.25">
      <c r="A36" s="155" t="s">
        <v>10</v>
      </c>
      <c r="B36" s="177" t="s">
        <v>273</v>
      </c>
      <c r="C36" s="177"/>
      <c r="D36" s="155" t="s">
        <v>358</v>
      </c>
      <c r="E36" s="155" t="str">
        <f>PGI!D35</f>
        <v>Sodium hydroxide</v>
      </c>
      <c r="F36" s="155" t="s">
        <v>274</v>
      </c>
      <c r="G36" s="172">
        <f>PGI!U35</f>
        <v>7.6144531424737201</v>
      </c>
      <c r="H36" s="171">
        <f>28/2.2*G8</f>
        <v>55.377841036172505</v>
      </c>
      <c r="I36" s="155" t="s">
        <v>333</v>
      </c>
      <c r="J36" s="155"/>
      <c r="K36" s="155"/>
      <c r="L36" s="155">
        <v>2</v>
      </c>
      <c r="M36" s="155">
        <v>1</v>
      </c>
      <c r="N36" s="155"/>
      <c r="O36" s="155"/>
      <c r="P36" s="217"/>
      <c r="Q36" s="224"/>
      <c r="R36" s="177"/>
      <c r="S36" s="177"/>
      <c r="T36" s="177" t="s">
        <v>644</v>
      </c>
      <c r="U36" s="177"/>
      <c r="V36" s="225"/>
      <c r="W36" s="220" t="s">
        <v>585</v>
      </c>
    </row>
    <row r="37" spans="1:23" x14ac:dyDescent="0.25">
      <c r="A37" s="155"/>
      <c r="B37" s="177"/>
      <c r="C37" s="177"/>
      <c r="D37" s="155"/>
      <c r="E37" s="155" t="str">
        <f>PGI!D34</f>
        <v>Water</v>
      </c>
      <c r="F37" s="155" t="s">
        <v>274</v>
      </c>
      <c r="G37" s="172">
        <f>PGI!U34</f>
        <v>24.148694251845225</v>
      </c>
      <c r="H37" s="171"/>
      <c r="I37" s="155"/>
      <c r="J37" s="155"/>
      <c r="K37" s="155"/>
      <c r="L37" s="155"/>
      <c r="M37" s="155"/>
      <c r="N37" s="155"/>
      <c r="O37" s="155"/>
      <c r="P37" s="217"/>
      <c r="Q37" s="224"/>
      <c r="R37" s="177"/>
      <c r="S37" s="177"/>
      <c r="T37" s="177"/>
      <c r="U37" s="177"/>
      <c r="V37" s="225"/>
      <c r="W37" s="220"/>
    </row>
    <row r="38" spans="1:23" x14ac:dyDescent="0.25">
      <c r="A38" s="155"/>
      <c r="B38" s="177"/>
      <c r="C38" s="177"/>
      <c r="D38" s="155"/>
      <c r="E38" s="155"/>
      <c r="F38" s="155" t="s">
        <v>275</v>
      </c>
      <c r="G38" s="172" t="s">
        <v>584</v>
      </c>
      <c r="H38" s="171"/>
      <c r="I38" s="155"/>
      <c r="J38" s="155"/>
      <c r="K38" s="155"/>
      <c r="L38" s="155"/>
      <c r="M38" s="155"/>
      <c r="N38" s="155"/>
      <c r="O38" s="155"/>
      <c r="P38" s="217"/>
      <c r="Q38" s="224"/>
      <c r="R38" s="177"/>
      <c r="S38" s="177"/>
      <c r="T38" s="177" t="s">
        <v>644</v>
      </c>
      <c r="U38" s="177"/>
      <c r="V38" s="225"/>
      <c r="W38" s="220"/>
    </row>
    <row r="39" spans="1:23" ht="30" x14ac:dyDescent="0.25">
      <c r="A39" s="155"/>
      <c r="B39" s="177"/>
      <c r="C39" s="177"/>
      <c r="D39" s="155"/>
      <c r="E39" s="155"/>
      <c r="F39" s="155" t="s">
        <v>277</v>
      </c>
      <c r="G39" s="172" t="s">
        <v>359</v>
      </c>
      <c r="H39" s="171"/>
      <c r="I39" s="155"/>
      <c r="J39" s="155"/>
      <c r="K39" s="155"/>
      <c r="L39" s="155"/>
      <c r="M39" s="155"/>
      <c r="N39" s="155"/>
      <c r="O39" s="155"/>
      <c r="P39" s="217"/>
      <c r="Q39" s="224"/>
      <c r="R39" s="177"/>
      <c r="S39" s="177"/>
      <c r="T39" s="177" t="s">
        <v>644</v>
      </c>
      <c r="U39" s="177"/>
      <c r="V39" s="225"/>
      <c r="W39" s="220" t="s">
        <v>589</v>
      </c>
    </row>
    <row r="40" spans="1:23" x14ac:dyDescent="0.25">
      <c r="A40" s="155"/>
      <c r="B40" s="177"/>
      <c r="C40" s="177"/>
      <c r="D40" s="155"/>
      <c r="E40" s="155"/>
      <c r="F40" s="155" t="s">
        <v>278</v>
      </c>
      <c r="G40" s="172" t="s">
        <v>305</v>
      </c>
      <c r="H40" s="171"/>
      <c r="I40" s="155"/>
      <c r="J40" s="155"/>
      <c r="K40" s="155"/>
      <c r="L40" s="155"/>
      <c r="M40" s="155"/>
      <c r="N40" s="155"/>
      <c r="O40" s="155"/>
      <c r="P40" s="217"/>
      <c r="Q40" s="224"/>
      <c r="R40" s="177"/>
      <c r="S40" s="177"/>
      <c r="T40" s="177" t="s">
        <v>644</v>
      </c>
      <c r="U40" s="177"/>
      <c r="V40" s="225"/>
      <c r="W40" s="220"/>
    </row>
    <row r="41" spans="1:23" x14ac:dyDescent="0.25">
      <c r="A41" s="155"/>
      <c r="B41" s="177"/>
      <c r="C41" s="177"/>
      <c r="D41" s="155"/>
      <c r="E41" s="155"/>
      <c r="F41" s="155" t="s">
        <v>279</v>
      </c>
      <c r="G41" s="172" t="s">
        <v>834</v>
      </c>
      <c r="H41" s="171"/>
      <c r="I41" s="155"/>
      <c r="J41" s="155"/>
      <c r="K41" s="155"/>
      <c r="L41" s="155"/>
      <c r="M41" s="155"/>
      <c r="N41" s="155"/>
      <c r="O41" s="155"/>
      <c r="P41" s="217"/>
      <c r="Q41" s="224"/>
      <c r="R41" s="177"/>
      <c r="S41" s="177"/>
      <c r="T41" s="177"/>
      <c r="U41" s="177" t="s">
        <v>644</v>
      </c>
      <c r="V41" s="225"/>
      <c r="W41" s="220"/>
    </row>
    <row r="42" spans="1:23" ht="30" x14ac:dyDescent="0.25">
      <c r="A42" s="155"/>
      <c r="B42" s="177"/>
      <c r="C42" s="177"/>
      <c r="D42" s="155"/>
      <c r="E42" s="155"/>
      <c r="F42" s="155" t="s">
        <v>346</v>
      </c>
      <c r="G42" s="172" t="s">
        <v>347</v>
      </c>
      <c r="H42" s="171"/>
      <c r="I42" s="155"/>
      <c r="J42" s="155"/>
      <c r="K42" s="155"/>
      <c r="L42" s="155"/>
      <c r="M42" s="155"/>
      <c r="N42" s="155"/>
      <c r="O42" s="155"/>
      <c r="P42" s="217"/>
      <c r="Q42" s="224"/>
      <c r="R42" s="258" t="s">
        <v>644</v>
      </c>
      <c r="S42" s="177"/>
      <c r="T42" s="177"/>
      <c r="U42" s="177"/>
      <c r="V42" s="225"/>
      <c r="W42" s="220" t="s">
        <v>868</v>
      </c>
    </row>
    <row r="43" spans="1:23" ht="30" x14ac:dyDescent="0.25">
      <c r="A43" s="155" t="s">
        <v>10</v>
      </c>
      <c r="B43" s="155" t="s">
        <v>338</v>
      </c>
      <c r="C43" s="155"/>
      <c r="D43" s="155" t="s">
        <v>955</v>
      </c>
      <c r="E43" s="155"/>
      <c r="F43" s="155" t="s">
        <v>290</v>
      </c>
      <c r="G43" s="172" t="s">
        <v>956</v>
      </c>
      <c r="H43" s="171"/>
      <c r="I43" s="155" t="s">
        <v>333</v>
      </c>
      <c r="J43" s="155"/>
      <c r="K43" s="155"/>
      <c r="L43" s="155">
        <v>1</v>
      </c>
      <c r="M43" s="155">
        <v>1</v>
      </c>
      <c r="N43" s="155"/>
      <c r="O43" s="155"/>
      <c r="P43" s="217"/>
      <c r="Q43" s="224"/>
      <c r="R43" s="177"/>
      <c r="S43" s="177"/>
      <c r="T43" s="177"/>
      <c r="U43" s="177" t="s">
        <v>644</v>
      </c>
      <c r="V43" s="225"/>
      <c r="W43" s="220"/>
    </row>
    <row r="44" spans="1:23" x14ac:dyDescent="0.25">
      <c r="A44" s="155"/>
      <c r="B44" s="155"/>
      <c r="C44" s="155"/>
      <c r="D44" s="155"/>
      <c r="E44" s="155"/>
      <c r="F44" s="155" t="s">
        <v>291</v>
      </c>
      <c r="G44" s="172" t="s">
        <v>503</v>
      </c>
      <c r="H44" s="171"/>
      <c r="I44" s="155"/>
      <c r="J44" s="155"/>
      <c r="K44" s="155"/>
      <c r="L44" s="155"/>
      <c r="M44" s="155"/>
      <c r="N44" s="155"/>
      <c r="O44" s="155"/>
      <c r="P44" s="217"/>
      <c r="Q44" s="224"/>
      <c r="R44" s="177"/>
      <c r="S44" s="177"/>
      <c r="T44" s="177" t="s">
        <v>644</v>
      </c>
      <c r="U44" s="177"/>
      <c r="V44" s="225"/>
      <c r="W44" s="220"/>
    </row>
    <row r="45" spans="1:23" ht="60" x14ac:dyDescent="0.25">
      <c r="A45" s="155"/>
      <c r="B45" s="155"/>
      <c r="C45" s="155"/>
      <c r="D45" s="155"/>
      <c r="E45" s="155"/>
      <c r="F45" s="155" t="s">
        <v>292</v>
      </c>
      <c r="G45" s="263" t="s">
        <v>954</v>
      </c>
      <c r="H45" s="171"/>
      <c r="I45" s="155"/>
      <c r="J45" s="155"/>
      <c r="K45" s="155"/>
      <c r="L45" s="155"/>
      <c r="M45" s="155"/>
      <c r="N45" s="155"/>
      <c r="O45" s="155"/>
      <c r="P45" s="217"/>
      <c r="Q45" s="224"/>
      <c r="R45" s="177"/>
      <c r="S45" s="177"/>
      <c r="T45" s="177"/>
      <c r="U45" s="177" t="s">
        <v>644</v>
      </c>
      <c r="V45" s="225"/>
      <c r="W45" s="220"/>
    </row>
    <row r="46" spans="1:23" x14ac:dyDescent="0.25">
      <c r="A46" s="155"/>
      <c r="B46" s="155"/>
      <c r="C46" s="155"/>
      <c r="D46" s="155"/>
      <c r="E46" s="155"/>
      <c r="F46" s="155" t="s">
        <v>278</v>
      </c>
      <c r="G46" s="172" t="s">
        <v>305</v>
      </c>
      <c r="H46" s="171"/>
      <c r="I46" s="155"/>
      <c r="J46" s="155"/>
      <c r="K46" s="155"/>
      <c r="L46" s="155"/>
      <c r="M46" s="155"/>
      <c r="N46" s="155"/>
      <c r="O46" s="155"/>
      <c r="P46" s="217"/>
      <c r="Q46" s="224"/>
      <c r="R46" s="177"/>
      <c r="S46" s="177"/>
      <c r="T46" s="177" t="s">
        <v>644</v>
      </c>
      <c r="U46" s="177"/>
      <c r="V46" s="225"/>
      <c r="W46" s="233"/>
    </row>
    <row r="47" spans="1:23" x14ac:dyDescent="0.25">
      <c r="A47" s="155"/>
      <c r="B47" s="155"/>
      <c r="C47" s="155"/>
      <c r="D47" s="155"/>
      <c r="E47" s="155"/>
      <c r="F47" s="155" t="s">
        <v>310</v>
      </c>
      <c r="G47" s="172" t="s">
        <v>438</v>
      </c>
      <c r="H47" s="171"/>
      <c r="I47" s="155"/>
      <c r="J47" s="155"/>
      <c r="K47" s="155"/>
      <c r="L47" s="155"/>
      <c r="M47" s="155"/>
      <c r="N47" s="155"/>
      <c r="O47" s="155"/>
      <c r="P47" s="217"/>
      <c r="Q47" s="224"/>
      <c r="R47" s="177"/>
      <c r="S47" s="177"/>
      <c r="T47" s="177"/>
      <c r="U47" s="177" t="s">
        <v>644</v>
      </c>
      <c r="V47" s="225"/>
      <c r="W47" s="220" t="s">
        <v>830</v>
      </c>
    </row>
    <row r="48" spans="1:23" x14ac:dyDescent="0.25">
      <c r="A48" s="155">
        <v>4</v>
      </c>
      <c r="B48" s="155" t="s">
        <v>309</v>
      </c>
      <c r="C48" s="155"/>
      <c r="D48" s="155"/>
      <c r="E48" s="155"/>
      <c r="F48" s="155" t="s">
        <v>290</v>
      </c>
      <c r="G48" s="172" t="s">
        <v>835</v>
      </c>
      <c r="H48" s="171"/>
      <c r="I48" s="155"/>
      <c r="J48" s="155"/>
      <c r="K48" s="155"/>
      <c r="L48" s="155">
        <v>1</v>
      </c>
      <c r="M48" s="161" t="s">
        <v>530</v>
      </c>
      <c r="N48" s="155"/>
      <c r="O48" s="155"/>
      <c r="P48" s="217"/>
      <c r="Q48" s="224"/>
      <c r="R48" s="177"/>
      <c r="S48" s="177"/>
      <c r="T48" s="177" t="s">
        <v>644</v>
      </c>
      <c r="U48" s="177"/>
      <c r="V48" s="225"/>
      <c r="W48" s="220"/>
    </row>
    <row r="49" spans="1:23" x14ac:dyDescent="0.25">
      <c r="A49" s="155"/>
      <c r="B49" s="155"/>
      <c r="C49" s="155"/>
      <c r="D49" s="155"/>
      <c r="E49" s="155"/>
      <c r="F49" s="155" t="s">
        <v>291</v>
      </c>
      <c r="G49" s="172" t="s">
        <v>503</v>
      </c>
      <c r="H49" s="171"/>
      <c r="I49" s="155"/>
      <c r="J49" s="155"/>
      <c r="K49" s="155"/>
      <c r="L49" s="155"/>
      <c r="M49" s="155"/>
      <c r="N49" s="155"/>
      <c r="O49" s="155"/>
      <c r="P49" s="217"/>
      <c r="Q49" s="224"/>
      <c r="R49" s="177"/>
      <c r="S49" s="177"/>
      <c r="T49" s="177" t="s">
        <v>644</v>
      </c>
      <c r="U49" s="177"/>
      <c r="V49" s="225"/>
      <c r="W49" s="220"/>
    </row>
    <row r="50" spans="1:23" x14ac:dyDescent="0.25">
      <c r="A50" s="155"/>
      <c r="B50" s="155"/>
      <c r="C50" s="155"/>
      <c r="D50" s="155"/>
      <c r="E50" s="155"/>
      <c r="F50" s="155" t="s">
        <v>278</v>
      </c>
      <c r="G50" s="172" t="s">
        <v>500</v>
      </c>
      <c r="H50" s="171"/>
      <c r="I50" s="155"/>
      <c r="J50" s="155"/>
      <c r="K50" s="155"/>
      <c r="L50" s="155"/>
      <c r="M50" s="155"/>
      <c r="N50" s="155"/>
      <c r="O50" s="155"/>
      <c r="P50" s="217"/>
      <c r="Q50" s="224"/>
      <c r="R50" s="177"/>
      <c r="S50" s="177"/>
      <c r="T50" s="177" t="s">
        <v>644</v>
      </c>
      <c r="U50" s="177"/>
      <c r="V50" s="225"/>
      <c r="W50" s="220"/>
    </row>
    <row r="51" spans="1:23" x14ac:dyDescent="0.25">
      <c r="A51" s="155"/>
      <c r="B51" s="155"/>
      <c r="C51" s="155"/>
      <c r="D51" s="155"/>
      <c r="E51" s="155"/>
      <c r="F51" s="155" t="s">
        <v>284</v>
      </c>
      <c r="G51" s="172" t="s">
        <v>588</v>
      </c>
      <c r="H51" s="171"/>
      <c r="I51" s="155"/>
      <c r="J51" s="155"/>
      <c r="K51" s="155"/>
      <c r="L51" s="155"/>
      <c r="M51" s="155"/>
      <c r="N51" s="155"/>
      <c r="O51" s="155"/>
      <c r="P51" s="217"/>
      <c r="Q51" s="224"/>
      <c r="R51" s="177"/>
      <c r="S51" s="177"/>
      <c r="T51" s="177" t="s">
        <v>644</v>
      </c>
      <c r="U51" s="177"/>
      <c r="V51" s="225"/>
      <c r="W51" s="220" t="s">
        <v>587</v>
      </c>
    </row>
    <row r="52" spans="1:23" x14ac:dyDescent="0.25">
      <c r="A52" s="155"/>
      <c r="B52" s="155"/>
      <c r="C52" s="155"/>
      <c r="D52" s="155"/>
      <c r="E52" s="155"/>
      <c r="F52" s="155" t="s">
        <v>310</v>
      </c>
      <c r="G52" s="172" t="s">
        <v>586</v>
      </c>
      <c r="H52" s="171"/>
      <c r="I52" s="155"/>
      <c r="J52" s="155"/>
      <c r="K52" s="155"/>
      <c r="L52" s="155"/>
      <c r="M52" s="155"/>
      <c r="N52" s="155"/>
      <c r="O52" s="155"/>
      <c r="P52" s="217"/>
      <c r="Q52" s="224"/>
      <c r="R52" s="177"/>
      <c r="S52" s="177"/>
      <c r="T52" s="177" t="s">
        <v>644</v>
      </c>
      <c r="U52" s="177"/>
      <c r="V52" s="225"/>
      <c r="W52" s="220"/>
    </row>
    <row r="53" spans="1:23" ht="75" x14ac:dyDescent="0.25">
      <c r="A53" s="155" t="s">
        <v>10</v>
      </c>
      <c r="B53" s="155" t="s">
        <v>348</v>
      </c>
      <c r="C53" s="155"/>
      <c r="D53" s="155" t="s">
        <v>590</v>
      </c>
      <c r="E53" s="155"/>
      <c r="F53" s="155" t="s">
        <v>295</v>
      </c>
      <c r="G53" s="172" t="s">
        <v>349</v>
      </c>
      <c r="H53" s="171"/>
      <c r="I53" s="155" t="s">
        <v>575</v>
      </c>
      <c r="J53" s="155"/>
      <c r="K53" s="155"/>
      <c r="L53" s="155">
        <v>2</v>
      </c>
      <c r="M53" s="155">
        <v>2</v>
      </c>
      <c r="N53" s="155"/>
      <c r="O53" s="155"/>
      <c r="P53" s="217"/>
      <c r="Q53" s="224"/>
      <c r="R53" s="177"/>
      <c r="S53" s="177"/>
      <c r="T53" s="177"/>
      <c r="U53" s="177" t="s">
        <v>644</v>
      </c>
      <c r="V53" s="225"/>
      <c r="W53" s="220"/>
    </row>
    <row r="54" spans="1:23" x14ac:dyDescent="0.25">
      <c r="A54" s="155"/>
      <c r="B54" s="155"/>
      <c r="C54" s="155"/>
      <c r="D54" s="155"/>
      <c r="E54" s="155"/>
      <c r="F54" s="155" t="s">
        <v>296</v>
      </c>
      <c r="G54" s="172" t="s">
        <v>298</v>
      </c>
      <c r="H54" s="171"/>
      <c r="I54" s="155"/>
      <c r="J54" s="155"/>
      <c r="K54" s="155"/>
      <c r="L54" s="155"/>
      <c r="M54" s="155"/>
      <c r="N54" s="155"/>
      <c r="O54" s="155"/>
      <c r="P54" s="217"/>
      <c r="Q54" s="224"/>
      <c r="R54" s="177"/>
      <c r="S54" s="177"/>
      <c r="T54" s="177"/>
      <c r="U54" s="177" t="s">
        <v>644</v>
      </c>
      <c r="V54" s="225"/>
      <c r="W54" s="220"/>
    </row>
    <row r="55" spans="1:23" ht="45" x14ac:dyDescent="0.25">
      <c r="A55" s="155" t="s">
        <v>10</v>
      </c>
      <c r="B55" s="155" t="s">
        <v>293</v>
      </c>
      <c r="C55" s="155"/>
      <c r="D55" s="155" t="s">
        <v>951</v>
      </c>
      <c r="E55" s="155" t="str">
        <f>PGI!D36</f>
        <v>Water</v>
      </c>
      <c r="F55" s="155" t="s">
        <v>274</v>
      </c>
      <c r="G55" s="269">
        <f>PGI!U36</f>
        <v>13.836549138895103</v>
      </c>
      <c r="H55" s="171"/>
      <c r="I55" s="155" t="s">
        <v>575</v>
      </c>
      <c r="J55" s="155"/>
      <c r="K55" s="155"/>
      <c r="L55" s="155">
        <v>2</v>
      </c>
      <c r="M55" s="155">
        <v>2</v>
      </c>
      <c r="N55" s="155"/>
      <c r="O55" s="155"/>
      <c r="P55" s="217"/>
      <c r="Q55" s="224"/>
      <c r="R55" s="177"/>
      <c r="S55" s="177"/>
      <c r="T55" s="177" t="s">
        <v>644</v>
      </c>
      <c r="U55" s="177"/>
      <c r="V55" s="225"/>
      <c r="W55" s="220" t="s">
        <v>592</v>
      </c>
    </row>
    <row r="56" spans="1:23" ht="30" x14ac:dyDescent="0.25">
      <c r="A56" s="155"/>
      <c r="B56" s="155"/>
      <c r="C56" s="155"/>
      <c r="D56" s="155"/>
      <c r="E56" s="155"/>
      <c r="F56" s="155" t="s">
        <v>294</v>
      </c>
      <c r="G56" s="266" t="s">
        <v>339</v>
      </c>
      <c r="H56" s="171"/>
      <c r="I56" s="155"/>
      <c r="J56" s="155"/>
      <c r="K56" s="155"/>
      <c r="L56" s="155"/>
      <c r="M56" s="155"/>
      <c r="N56" s="155"/>
      <c r="O56" s="155"/>
      <c r="P56" s="217"/>
      <c r="Q56" s="224"/>
      <c r="R56" s="177"/>
      <c r="S56" s="177"/>
      <c r="T56" s="177"/>
      <c r="U56" s="177" t="s">
        <v>644</v>
      </c>
      <c r="V56" s="225"/>
      <c r="W56" s="220"/>
    </row>
    <row r="57" spans="1:23" x14ac:dyDescent="0.25">
      <c r="A57" s="155"/>
      <c r="B57" s="155"/>
      <c r="C57" s="155"/>
      <c r="D57" s="155"/>
      <c r="E57" s="155"/>
      <c r="F57" s="155" t="s">
        <v>836</v>
      </c>
      <c r="G57" s="266" t="s">
        <v>350</v>
      </c>
      <c r="H57" s="171"/>
      <c r="I57" s="155"/>
      <c r="J57" s="155"/>
      <c r="K57" s="155"/>
      <c r="L57" s="155"/>
      <c r="M57" s="155"/>
      <c r="N57" s="155"/>
      <c r="O57" s="155"/>
      <c r="P57" s="217"/>
      <c r="Q57" s="224"/>
      <c r="R57" s="177"/>
      <c r="S57" s="177"/>
      <c r="T57" s="177"/>
      <c r="U57" s="177" t="s">
        <v>644</v>
      </c>
      <c r="V57" s="225"/>
      <c r="W57" s="220"/>
    </row>
    <row r="58" spans="1:23" ht="45" x14ac:dyDescent="0.25">
      <c r="A58" s="155" t="s">
        <v>10</v>
      </c>
      <c r="B58" s="155" t="s">
        <v>293</v>
      </c>
      <c r="C58" s="155"/>
      <c r="D58" s="155" t="s">
        <v>952</v>
      </c>
      <c r="E58" s="155" t="str">
        <f>PGI!D37</f>
        <v>Water</v>
      </c>
      <c r="F58" s="155" t="s">
        <v>274</v>
      </c>
      <c r="G58" s="269">
        <f>PGI!U37</f>
        <v>13.836549138895103</v>
      </c>
      <c r="H58" s="171"/>
      <c r="I58" s="155" t="s">
        <v>575</v>
      </c>
      <c r="J58" s="155"/>
      <c r="K58" s="155"/>
      <c r="L58" s="155">
        <v>2</v>
      </c>
      <c r="M58" s="155">
        <v>2</v>
      </c>
      <c r="N58" s="155"/>
      <c r="O58" s="155"/>
      <c r="P58" s="217"/>
      <c r="Q58" s="224"/>
      <c r="R58" s="177"/>
      <c r="S58" s="177"/>
      <c r="T58" s="177" t="s">
        <v>644</v>
      </c>
      <c r="U58" s="177"/>
      <c r="V58" s="225"/>
      <c r="W58" s="220"/>
    </row>
    <row r="59" spans="1:23" ht="30" x14ac:dyDescent="0.25">
      <c r="A59" s="155"/>
      <c r="B59" s="155"/>
      <c r="C59" s="155"/>
      <c r="D59" s="155"/>
      <c r="E59" s="155"/>
      <c r="F59" s="155" t="s">
        <v>294</v>
      </c>
      <c r="G59" s="266" t="s">
        <v>339</v>
      </c>
      <c r="H59" s="171"/>
      <c r="I59" s="155"/>
      <c r="J59" s="155"/>
      <c r="K59" s="155"/>
      <c r="L59" s="155"/>
      <c r="M59" s="155"/>
      <c r="N59" s="155"/>
      <c r="O59" s="155"/>
      <c r="P59" s="217"/>
      <c r="Q59" s="224"/>
      <c r="R59" s="177"/>
      <c r="S59" s="177"/>
      <c r="T59" s="177"/>
      <c r="U59" s="177" t="s">
        <v>644</v>
      </c>
      <c r="V59" s="225"/>
      <c r="W59" s="220"/>
    </row>
    <row r="60" spans="1:23" x14ac:dyDescent="0.25">
      <c r="A60" s="155"/>
      <c r="B60" s="155"/>
      <c r="C60" s="155"/>
      <c r="D60" s="155"/>
      <c r="E60" s="155"/>
      <c r="F60" s="155" t="s">
        <v>836</v>
      </c>
      <c r="G60" s="266" t="s">
        <v>350</v>
      </c>
      <c r="H60" s="171"/>
      <c r="I60" s="155"/>
      <c r="J60" s="155"/>
      <c r="K60" s="155"/>
      <c r="L60" s="155"/>
      <c r="M60" s="155"/>
      <c r="N60" s="155"/>
      <c r="O60" s="155"/>
      <c r="P60" s="217"/>
      <c r="Q60" s="224"/>
      <c r="R60" s="177"/>
      <c r="S60" s="177"/>
      <c r="T60" s="177"/>
      <c r="U60" s="177" t="s">
        <v>644</v>
      </c>
      <c r="V60" s="225"/>
      <c r="W60" s="220"/>
    </row>
    <row r="61" spans="1:23" x14ac:dyDescent="0.25">
      <c r="A61" s="155"/>
      <c r="B61" s="155"/>
      <c r="C61" s="155"/>
      <c r="D61" s="155"/>
      <c r="E61" s="155"/>
      <c r="F61" s="155"/>
      <c r="H61" s="171"/>
      <c r="I61" s="155"/>
      <c r="J61" s="155"/>
      <c r="K61" s="155"/>
      <c r="L61" s="155"/>
      <c r="M61" s="155"/>
      <c r="N61" s="155"/>
      <c r="O61" s="155"/>
      <c r="P61" s="217"/>
      <c r="Q61" s="224"/>
      <c r="R61" s="177"/>
      <c r="S61" s="177"/>
      <c r="T61" s="177"/>
      <c r="U61" s="177"/>
      <c r="V61" s="225"/>
      <c r="W61" s="220"/>
    </row>
    <row r="62" spans="1:23" s="173" customFormat="1" ht="75" x14ac:dyDescent="0.25">
      <c r="A62" s="155" t="s">
        <v>10</v>
      </c>
      <c r="B62" s="158" t="s">
        <v>906</v>
      </c>
      <c r="C62" s="158"/>
      <c r="D62" s="158" t="s">
        <v>907</v>
      </c>
      <c r="E62" s="175"/>
      <c r="F62" s="158" t="s">
        <v>284</v>
      </c>
      <c r="G62" s="253" t="s">
        <v>839</v>
      </c>
      <c r="H62" s="176"/>
      <c r="I62" s="155" t="s">
        <v>575</v>
      </c>
      <c r="J62" s="175"/>
      <c r="K62" s="175"/>
      <c r="L62" s="175"/>
      <c r="M62" s="175"/>
      <c r="N62" s="175"/>
      <c r="O62" s="195"/>
      <c r="P62" s="195"/>
      <c r="Q62" s="201"/>
      <c r="R62" s="175"/>
      <c r="S62" s="175"/>
      <c r="T62" s="297" t="s">
        <v>760</v>
      </c>
      <c r="U62" s="175"/>
      <c r="V62" s="202"/>
    </row>
    <row r="63" spans="1:23" s="173" customFormat="1" x14ac:dyDescent="0.25">
      <c r="A63" s="158"/>
      <c r="B63" s="158"/>
      <c r="C63" s="158"/>
      <c r="D63" s="158"/>
      <c r="E63" s="175"/>
      <c r="F63" s="158" t="s">
        <v>296</v>
      </c>
      <c r="G63" s="253" t="s">
        <v>908</v>
      </c>
      <c r="H63" s="176"/>
      <c r="I63" s="175"/>
      <c r="J63" s="175"/>
      <c r="K63" s="175"/>
      <c r="L63" s="175"/>
      <c r="M63" s="175"/>
      <c r="N63" s="175"/>
      <c r="O63" s="195"/>
      <c r="P63" s="195"/>
      <c r="Q63" s="201"/>
      <c r="R63" s="175"/>
      <c r="S63" s="175"/>
      <c r="T63" s="297" t="s">
        <v>760</v>
      </c>
      <c r="U63" s="175"/>
      <c r="V63" s="202"/>
    </row>
    <row r="64" spans="1:23" ht="105" x14ac:dyDescent="0.25">
      <c r="A64" s="155" t="s">
        <v>10</v>
      </c>
      <c r="B64" s="155" t="s">
        <v>293</v>
      </c>
      <c r="C64" s="155"/>
      <c r="D64" s="155" t="s">
        <v>593</v>
      </c>
      <c r="E64" s="155" t="str">
        <f>PGI!D38</f>
        <v>2-propanol</v>
      </c>
      <c r="F64" s="155" t="s">
        <v>274</v>
      </c>
      <c r="G64" s="269">
        <f>PGI!U38</f>
        <v>3.9595156340863347</v>
      </c>
      <c r="H64" s="171"/>
      <c r="I64" s="155" t="s">
        <v>366</v>
      </c>
      <c r="J64" s="155"/>
      <c r="K64" s="155"/>
      <c r="L64" s="155">
        <v>2</v>
      </c>
      <c r="M64" s="155">
        <v>2</v>
      </c>
      <c r="N64" s="155"/>
      <c r="O64" s="155"/>
      <c r="P64" s="217"/>
      <c r="Q64" s="224"/>
      <c r="R64" s="177"/>
      <c r="S64" s="177"/>
      <c r="T64" s="177" t="s">
        <v>644</v>
      </c>
      <c r="U64" s="177"/>
      <c r="V64" s="225"/>
      <c r="W64" s="220"/>
    </row>
    <row r="65" spans="1:23" ht="30" x14ac:dyDescent="0.25">
      <c r="A65" s="155"/>
      <c r="B65" s="155"/>
      <c r="C65" s="155"/>
      <c r="D65" s="155"/>
      <c r="E65" s="155"/>
      <c r="F65" s="155" t="s">
        <v>294</v>
      </c>
      <c r="G65" s="172" t="s">
        <v>439</v>
      </c>
      <c r="H65" s="171"/>
      <c r="I65" s="155"/>
      <c r="J65" s="155"/>
      <c r="K65" s="155"/>
      <c r="L65" s="155"/>
      <c r="M65" s="155"/>
      <c r="N65" s="155"/>
      <c r="O65" s="155"/>
      <c r="P65" s="217"/>
      <c r="Q65" s="224"/>
      <c r="R65" s="177"/>
      <c r="S65" s="177"/>
      <c r="T65" s="177"/>
      <c r="U65" s="177" t="s">
        <v>644</v>
      </c>
      <c r="V65" s="225"/>
      <c r="W65" s="220"/>
    </row>
    <row r="66" spans="1:23" x14ac:dyDescent="0.25">
      <c r="A66" s="155"/>
      <c r="B66" s="155"/>
      <c r="C66" s="155"/>
      <c r="D66" s="155"/>
      <c r="E66" s="155"/>
      <c r="F66" s="155" t="s">
        <v>278</v>
      </c>
      <c r="G66" s="266" t="s">
        <v>957</v>
      </c>
      <c r="H66" s="171"/>
      <c r="I66" s="155"/>
      <c r="J66" s="155"/>
      <c r="K66" s="155"/>
      <c r="L66" s="155"/>
      <c r="M66" s="155"/>
      <c r="N66" s="155"/>
      <c r="O66" s="155"/>
      <c r="P66" s="217"/>
      <c r="Q66" s="224"/>
      <c r="R66" s="177"/>
      <c r="S66" s="177"/>
      <c r="T66" s="177" t="s">
        <v>644</v>
      </c>
      <c r="U66" s="177"/>
      <c r="V66" s="225"/>
      <c r="W66" s="220"/>
    </row>
    <row r="67" spans="1:23" x14ac:dyDescent="0.25">
      <c r="A67" s="155" t="s">
        <v>10</v>
      </c>
      <c r="B67" s="155" t="s">
        <v>309</v>
      </c>
      <c r="C67" s="155"/>
      <c r="D67" s="155" t="s">
        <v>837</v>
      </c>
      <c r="E67" s="155"/>
      <c r="F67" s="155" t="s">
        <v>290</v>
      </c>
      <c r="G67" s="172" t="s">
        <v>323</v>
      </c>
      <c r="H67" s="171"/>
      <c r="I67" s="155"/>
      <c r="J67" s="155"/>
      <c r="K67" s="155"/>
      <c r="L67" s="155"/>
      <c r="M67" s="155"/>
      <c r="N67" s="155"/>
      <c r="O67" s="155"/>
      <c r="P67" s="217"/>
      <c r="Q67" s="224"/>
      <c r="R67" s="177"/>
      <c r="S67" s="177"/>
      <c r="T67" s="177" t="s">
        <v>760</v>
      </c>
      <c r="U67" s="177"/>
      <c r="V67" s="225"/>
      <c r="W67" s="220"/>
    </row>
    <row r="68" spans="1:23" ht="30" x14ac:dyDescent="0.25">
      <c r="A68" s="155"/>
      <c r="B68" s="155"/>
      <c r="C68" s="155"/>
      <c r="D68" s="155"/>
      <c r="E68" s="155"/>
      <c r="F68" s="155" t="s">
        <v>291</v>
      </c>
      <c r="G68" s="172" t="s">
        <v>838</v>
      </c>
      <c r="H68" s="171"/>
      <c r="I68" s="155"/>
      <c r="J68" s="155"/>
      <c r="K68" s="155"/>
      <c r="L68" s="155"/>
      <c r="M68" s="155"/>
      <c r="N68" s="155"/>
      <c r="O68" s="155"/>
      <c r="P68" s="217"/>
      <c r="Q68" s="224"/>
      <c r="R68" s="177"/>
      <c r="S68" s="258" t="s">
        <v>760</v>
      </c>
      <c r="T68" s="177"/>
      <c r="U68" s="177"/>
      <c r="V68" s="225"/>
      <c r="W68" s="233" t="s">
        <v>949</v>
      </c>
    </row>
    <row r="69" spans="1:23" x14ac:dyDescent="0.25">
      <c r="A69" s="155"/>
      <c r="B69" s="155"/>
      <c r="C69" s="155"/>
      <c r="D69" s="155"/>
      <c r="E69" s="155"/>
      <c r="F69" s="155" t="s">
        <v>278</v>
      </c>
      <c r="G69" s="172" t="s">
        <v>957</v>
      </c>
      <c r="H69" s="171"/>
      <c r="I69" s="155"/>
      <c r="J69" s="155"/>
      <c r="K69" s="155"/>
      <c r="L69" s="155"/>
      <c r="M69" s="155"/>
      <c r="N69" s="155"/>
      <c r="O69" s="155"/>
      <c r="P69" s="217"/>
      <c r="Q69" s="224"/>
      <c r="R69" s="177"/>
      <c r="S69" s="177"/>
      <c r="T69" s="177"/>
      <c r="U69" s="177"/>
      <c r="V69" s="225"/>
      <c r="W69" s="220"/>
    </row>
    <row r="70" spans="1:23" x14ac:dyDescent="0.25">
      <c r="A70" s="155"/>
      <c r="B70" s="155"/>
      <c r="C70" s="155"/>
      <c r="D70" s="155"/>
      <c r="E70" s="155"/>
      <c r="F70" s="155" t="s">
        <v>284</v>
      </c>
      <c r="G70" s="172" t="s">
        <v>839</v>
      </c>
      <c r="H70" s="171"/>
      <c r="I70" s="155"/>
      <c r="J70" s="155"/>
      <c r="K70" s="155"/>
      <c r="L70" s="155"/>
      <c r="M70" s="155"/>
      <c r="N70" s="155"/>
      <c r="O70" s="155"/>
      <c r="P70" s="217"/>
      <c r="Q70" s="224"/>
      <c r="R70" s="177"/>
      <c r="S70" s="177"/>
      <c r="T70" s="177"/>
      <c r="U70" s="177"/>
      <c r="V70" s="225"/>
      <c r="W70" s="220"/>
    </row>
    <row r="71" spans="1:23" x14ac:dyDescent="0.25">
      <c r="A71" s="155"/>
      <c r="B71" s="155"/>
      <c r="C71" s="155"/>
      <c r="D71" s="155"/>
      <c r="E71" s="155"/>
      <c r="F71" s="155" t="s">
        <v>310</v>
      </c>
      <c r="G71" s="172" t="s">
        <v>437</v>
      </c>
      <c r="H71" s="171"/>
      <c r="I71" s="155"/>
      <c r="J71" s="155"/>
      <c r="K71" s="155"/>
      <c r="L71" s="155"/>
      <c r="M71" s="155"/>
      <c r="N71" s="155"/>
      <c r="O71" s="155"/>
      <c r="P71" s="217"/>
      <c r="Q71" s="224"/>
      <c r="R71" s="177"/>
      <c r="S71" s="177"/>
      <c r="T71" s="177"/>
      <c r="U71" s="177"/>
      <c r="V71" s="225"/>
      <c r="W71" s="220"/>
    </row>
    <row r="72" spans="1:23" ht="60" x14ac:dyDescent="0.25">
      <c r="A72" s="155" t="s">
        <v>10</v>
      </c>
      <c r="B72" s="155" t="s">
        <v>348</v>
      </c>
      <c r="C72" s="155"/>
      <c r="D72" s="155" t="s">
        <v>594</v>
      </c>
      <c r="E72" s="155" t="str">
        <f>PGI!D39</f>
        <v>2-propanol</v>
      </c>
      <c r="F72" s="155" t="s">
        <v>274</v>
      </c>
      <c r="G72" s="172">
        <f>PGI!U39</f>
        <v>0.39160044732721988</v>
      </c>
      <c r="H72" s="171"/>
      <c r="I72" s="155" t="s">
        <v>575</v>
      </c>
      <c r="J72" s="155"/>
      <c r="K72" s="155"/>
      <c r="L72" s="155">
        <v>2</v>
      </c>
      <c r="M72" s="155">
        <v>2</v>
      </c>
      <c r="N72" s="155"/>
      <c r="O72" s="155"/>
      <c r="P72" s="217"/>
      <c r="Q72" s="224"/>
      <c r="R72" s="177"/>
      <c r="S72" s="177"/>
      <c r="T72" s="177" t="s">
        <v>644</v>
      </c>
      <c r="U72" s="177"/>
      <c r="V72" s="225"/>
      <c r="W72" s="220" t="s">
        <v>840</v>
      </c>
    </row>
    <row r="73" spans="1:23" x14ac:dyDescent="0.25">
      <c r="A73" s="155"/>
      <c r="B73" s="155"/>
      <c r="C73" s="155"/>
      <c r="D73" s="155"/>
      <c r="E73" s="155"/>
      <c r="F73" s="155" t="s">
        <v>295</v>
      </c>
      <c r="G73" s="172" t="s">
        <v>349</v>
      </c>
      <c r="H73" s="171"/>
      <c r="I73" s="155"/>
      <c r="J73" s="155"/>
      <c r="K73" s="155"/>
      <c r="L73" s="155"/>
      <c r="M73" s="155"/>
      <c r="N73" s="155"/>
      <c r="O73" s="155"/>
      <c r="P73" s="217"/>
      <c r="Q73" s="224"/>
      <c r="R73" s="177"/>
      <c r="S73" s="177"/>
      <c r="T73" s="177"/>
      <c r="U73" s="177" t="s">
        <v>644</v>
      </c>
      <c r="V73" s="225"/>
      <c r="W73" s="220"/>
    </row>
    <row r="74" spans="1:23" x14ac:dyDescent="0.25">
      <c r="A74" s="155"/>
      <c r="B74" s="155"/>
      <c r="C74" s="155"/>
      <c r="D74" s="155"/>
      <c r="E74" s="155"/>
      <c r="F74" s="155" t="s">
        <v>296</v>
      </c>
      <c r="G74" s="172" t="s">
        <v>298</v>
      </c>
      <c r="H74" s="171"/>
      <c r="I74" s="155"/>
      <c r="J74" s="155"/>
      <c r="K74" s="155"/>
      <c r="L74" s="155"/>
      <c r="M74" s="155"/>
      <c r="N74" s="155"/>
      <c r="O74" s="155"/>
      <c r="P74" s="217"/>
      <c r="Q74" s="224"/>
      <c r="R74" s="177"/>
      <c r="S74" s="177"/>
      <c r="T74" s="177"/>
      <c r="U74" s="177" t="s">
        <v>644</v>
      </c>
      <c r="V74" s="225"/>
      <c r="W74" s="220"/>
    </row>
    <row r="75" spans="1:23" s="173" customFormat="1" ht="75" x14ac:dyDescent="0.25">
      <c r="A75" s="155" t="s">
        <v>10</v>
      </c>
      <c r="B75" s="158" t="s">
        <v>906</v>
      </c>
      <c r="C75" s="158"/>
      <c r="D75" s="158" t="s">
        <v>907</v>
      </c>
      <c r="E75" s="175"/>
      <c r="F75" s="158" t="s">
        <v>284</v>
      </c>
      <c r="G75" s="253" t="s">
        <v>839</v>
      </c>
      <c r="H75" s="176"/>
      <c r="I75" s="155" t="s">
        <v>575</v>
      </c>
      <c r="J75" s="175"/>
      <c r="K75" s="175"/>
      <c r="L75" s="175"/>
      <c r="M75" s="175"/>
      <c r="N75" s="175"/>
      <c r="O75" s="195"/>
      <c r="P75" s="195"/>
      <c r="Q75" s="201"/>
      <c r="R75" s="175"/>
      <c r="S75" s="175"/>
      <c r="T75" s="297" t="s">
        <v>760</v>
      </c>
      <c r="U75" s="175"/>
      <c r="V75" s="202"/>
    </row>
    <row r="76" spans="1:23" s="173" customFormat="1" x14ac:dyDescent="0.25">
      <c r="A76" s="158"/>
      <c r="B76" s="158"/>
      <c r="C76" s="158"/>
      <c r="D76" s="158"/>
      <c r="E76" s="175"/>
      <c r="F76" s="158" t="s">
        <v>296</v>
      </c>
      <c r="G76" s="253" t="s">
        <v>908</v>
      </c>
      <c r="H76" s="176"/>
      <c r="I76" s="175"/>
      <c r="J76" s="175"/>
      <c r="K76" s="175"/>
      <c r="L76" s="175"/>
      <c r="M76" s="175"/>
      <c r="N76" s="175"/>
      <c r="O76" s="195"/>
      <c r="P76" s="195"/>
      <c r="Q76" s="201"/>
      <c r="R76" s="175"/>
      <c r="S76" s="175"/>
      <c r="T76" s="297" t="s">
        <v>760</v>
      </c>
      <c r="U76" s="175"/>
      <c r="V76" s="202"/>
    </row>
    <row r="77" spans="1:23" ht="30" x14ac:dyDescent="0.25">
      <c r="A77" s="155" t="s">
        <v>10</v>
      </c>
      <c r="B77" s="155" t="s">
        <v>351</v>
      </c>
      <c r="C77" s="155"/>
      <c r="D77" s="155" t="s">
        <v>352</v>
      </c>
      <c r="E77" s="155"/>
      <c r="F77" s="155" t="s">
        <v>290</v>
      </c>
      <c r="G77" s="172" t="s">
        <v>331</v>
      </c>
      <c r="H77" s="171"/>
      <c r="I77" s="155" t="s">
        <v>356</v>
      </c>
      <c r="J77" s="155"/>
      <c r="K77" s="155"/>
      <c r="L77" s="155">
        <v>2</v>
      </c>
      <c r="M77" s="155" t="s">
        <v>595</v>
      </c>
      <c r="N77" s="155"/>
      <c r="O77" s="155"/>
      <c r="P77" s="217"/>
      <c r="Q77" s="224"/>
      <c r="R77" s="177"/>
      <c r="S77" s="177"/>
      <c r="T77" s="177" t="s">
        <v>644</v>
      </c>
      <c r="U77" s="177"/>
      <c r="V77" s="225"/>
      <c r="W77" s="220" t="s">
        <v>361</v>
      </c>
    </row>
    <row r="78" spans="1:23" x14ac:dyDescent="0.25">
      <c r="A78" s="155"/>
      <c r="B78" s="155"/>
      <c r="C78" s="155"/>
      <c r="D78" s="155"/>
      <c r="E78" s="155"/>
      <c r="F78" s="155" t="s">
        <v>301</v>
      </c>
      <c r="G78" s="172"/>
      <c r="H78" s="171"/>
      <c r="I78" s="155"/>
      <c r="J78" s="155"/>
      <c r="K78" s="155"/>
      <c r="L78" s="155"/>
      <c r="M78" s="155"/>
      <c r="N78" s="155"/>
      <c r="O78" s="155"/>
      <c r="P78" s="217"/>
      <c r="Q78" s="224"/>
      <c r="R78" s="177"/>
      <c r="S78" s="177"/>
      <c r="T78" s="177"/>
      <c r="U78" s="177"/>
      <c r="V78" s="225"/>
      <c r="W78" s="220" t="s">
        <v>363</v>
      </c>
    </row>
    <row r="79" spans="1:23" x14ac:dyDescent="0.25">
      <c r="A79" s="155"/>
      <c r="B79" s="155"/>
      <c r="C79" s="155"/>
      <c r="D79" s="155"/>
      <c r="E79" s="155"/>
      <c r="F79" s="155" t="s">
        <v>302</v>
      </c>
      <c r="G79" s="172" t="s">
        <v>538</v>
      </c>
      <c r="H79" s="171"/>
      <c r="I79" s="155"/>
      <c r="J79" s="155"/>
      <c r="K79" s="155"/>
      <c r="L79" s="155"/>
      <c r="M79" s="155"/>
      <c r="N79" s="155"/>
      <c r="O79" s="155"/>
      <c r="P79" s="217"/>
      <c r="Q79" s="224"/>
      <c r="R79" s="177"/>
      <c r="S79" s="177"/>
      <c r="T79" s="177" t="s">
        <v>644</v>
      </c>
      <c r="U79" s="177"/>
      <c r="V79" s="225"/>
      <c r="W79" s="220"/>
    </row>
    <row r="80" spans="1:23" x14ac:dyDescent="0.25">
      <c r="A80" s="155"/>
      <c r="B80" s="155"/>
      <c r="C80" s="155"/>
      <c r="D80" s="155"/>
      <c r="E80" s="155"/>
      <c r="F80" s="155" t="s">
        <v>303</v>
      </c>
      <c r="G80" s="172" t="s">
        <v>353</v>
      </c>
      <c r="H80" s="171"/>
      <c r="I80" s="155"/>
      <c r="J80" s="155"/>
      <c r="K80" s="155"/>
      <c r="L80" s="155"/>
      <c r="M80" s="155"/>
      <c r="N80" s="155"/>
      <c r="O80" s="155"/>
      <c r="P80" s="217"/>
      <c r="Q80" s="224"/>
      <c r="R80" s="177"/>
      <c r="S80" s="177"/>
      <c r="T80" s="177" t="s">
        <v>644</v>
      </c>
      <c r="U80" s="177"/>
      <c r="V80" s="225"/>
      <c r="W80" s="220" t="s">
        <v>841</v>
      </c>
    </row>
    <row r="81" spans="1:27" x14ac:dyDescent="0.25">
      <c r="A81" s="155"/>
      <c r="B81" s="155"/>
      <c r="C81" s="155"/>
      <c r="D81" s="155"/>
      <c r="E81" s="155"/>
      <c r="F81" s="155" t="s">
        <v>304</v>
      </c>
      <c r="G81" s="172" t="s">
        <v>311</v>
      </c>
      <c r="H81" s="171"/>
      <c r="I81" s="155"/>
      <c r="J81" s="155"/>
      <c r="K81" s="155"/>
      <c r="L81" s="155"/>
      <c r="M81" s="155"/>
      <c r="N81" s="155"/>
      <c r="O81" s="155"/>
      <c r="P81" s="217"/>
      <c r="Q81" s="224"/>
      <c r="R81" s="177"/>
      <c r="S81" s="177"/>
      <c r="T81" s="177"/>
      <c r="U81" s="177" t="s">
        <v>644</v>
      </c>
      <c r="V81" s="225"/>
      <c r="W81" s="220"/>
    </row>
    <row r="82" spans="1:27" x14ac:dyDescent="0.25">
      <c r="A82" s="155"/>
      <c r="B82" s="155"/>
      <c r="C82" s="155"/>
      <c r="D82" s="155"/>
      <c r="E82" s="155"/>
      <c r="F82" s="155" t="s">
        <v>284</v>
      </c>
      <c r="G82" s="172" t="s">
        <v>362</v>
      </c>
      <c r="H82" s="171"/>
      <c r="I82" s="155"/>
      <c r="J82" s="155"/>
      <c r="K82" s="155"/>
      <c r="L82" s="155"/>
      <c r="M82" s="155"/>
      <c r="N82" s="155"/>
      <c r="O82" s="155"/>
      <c r="P82" s="217"/>
      <c r="Q82" s="224"/>
      <c r="R82" s="177"/>
      <c r="S82" s="177"/>
      <c r="T82" s="177"/>
      <c r="U82" s="177" t="s">
        <v>644</v>
      </c>
      <c r="V82" s="225"/>
      <c r="W82" s="220" t="s">
        <v>842</v>
      </c>
    </row>
    <row r="83" spans="1:27" x14ac:dyDescent="0.25">
      <c r="A83" s="155"/>
      <c r="B83" s="155"/>
      <c r="C83" s="155"/>
      <c r="D83" s="155"/>
      <c r="E83" s="155"/>
      <c r="F83" s="187" t="s">
        <v>596</v>
      </c>
      <c r="G83" s="264">
        <f>PGI!O40</f>
        <v>0.77</v>
      </c>
      <c r="H83" s="171"/>
      <c r="I83" s="155"/>
      <c r="J83" s="155"/>
      <c r="K83" s="155"/>
      <c r="L83" s="155"/>
      <c r="M83" s="155"/>
      <c r="N83" s="155"/>
      <c r="O83" s="155"/>
      <c r="P83" s="217"/>
      <c r="Q83" s="224"/>
      <c r="R83" s="177"/>
      <c r="S83" s="177"/>
      <c r="T83" s="177"/>
      <c r="U83" s="177"/>
      <c r="V83" s="225"/>
      <c r="W83" s="220"/>
    </row>
    <row r="84" spans="1:27" x14ac:dyDescent="0.25">
      <c r="A84" s="155"/>
      <c r="B84" s="155"/>
      <c r="C84" s="155"/>
      <c r="D84" s="155"/>
      <c r="E84" s="155"/>
      <c r="F84" s="187" t="s">
        <v>597</v>
      </c>
      <c r="G84" s="264">
        <f>PGI!U40</f>
        <v>2.3171575039141135</v>
      </c>
      <c r="H84" s="171"/>
      <c r="I84" s="155"/>
      <c r="J84" s="155"/>
      <c r="K84" s="155"/>
      <c r="L84" s="155"/>
      <c r="M84" s="155"/>
      <c r="N84" s="155"/>
      <c r="O84" s="155"/>
      <c r="P84" s="217"/>
      <c r="Q84" s="224"/>
      <c r="R84" s="177"/>
      <c r="S84" s="177"/>
      <c r="T84" s="177"/>
      <c r="U84" s="177"/>
      <c r="V84" s="225"/>
      <c r="W84" s="220"/>
    </row>
    <row r="85" spans="1:27" ht="30" x14ac:dyDescent="0.25">
      <c r="A85" s="155" t="s">
        <v>10</v>
      </c>
      <c r="B85" s="155" t="s">
        <v>541</v>
      </c>
      <c r="C85" s="155"/>
      <c r="D85" s="155" t="s">
        <v>542</v>
      </c>
      <c r="E85" s="155"/>
      <c r="F85" s="155" t="s">
        <v>543</v>
      </c>
      <c r="G85" s="172" t="s">
        <v>544</v>
      </c>
      <c r="H85" s="171"/>
      <c r="I85" s="155"/>
      <c r="J85" s="155"/>
      <c r="K85" s="157"/>
      <c r="L85" s="157">
        <v>2</v>
      </c>
      <c r="M85" s="157">
        <v>3</v>
      </c>
      <c r="N85" s="157"/>
      <c r="O85" s="157"/>
      <c r="P85" s="218"/>
      <c r="Q85" s="224"/>
      <c r="R85" s="177"/>
      <c r="S85" s="177"/>
      <c r="T85" s="177"/>
      <c r="U85" s="177"/>
      <c r="V85" s="225"/>
      <c r="W85" s="220"/>
    </row>
    <row r="86" spans="1:27" x14ac:dyDescent="0.25">
      <c r="A86" s="155"/>
      <c r="B86" s="155"/>
      <c r="C86" s="155"/>
      <c r="D86" s="155"/>
      <c r="E86" s="155"/>
      <c r="F86" s="155" t="s">
        <v>545</v>
      </c>
      <c r="G86" s="253" t="s">
        <v>547</v>
      </c>
      <c r="H86" s="171"/>
      <c r="I86" s="155"/>
      <c r="J86" s="155"/>
      <c r="K86" s="157"/>
      <c r="L86" s="157"/>
      <c r="M86" s="157"/>
      <c r="N86" s="157"/>
      <c r="O86" s="157"/>
      <c r="P86" s="218"/>
      <c r="Q86" s="224"/>
      <c r="R86" s="177"/>
      <c r="S86" s="177"/>
      <c r="T86" s="177"/>
      <c r="U86" s="177"/>
      <c r="V86" s="225"/>
      <c r="W86" s="220"/>
    </row>
    <row r="87" spans="1:27" x14ac:dyDescent="0.25">
      <c r="A87" s="155"/>
      <c r="B87" s="155"/>
      <c r="C87" s="155"/>
      <c r="D87" s="155"/>
      <c r="E87" s="155"/>
      <c r="F87" s="155" t="s">
        <v>546</v>
      </c>
      <c r="G87" s="253" t="s">
        <v>909</v>
      </c>
      <c r="H87" s="171"/>
      <c r="I87" s="155"/>
      <c r="J87" s="155"/>
      <c r="K87" s="157"/>
      <c r="L87" s="157"/>
      <c r="M87" s="157"/>
      <c r="N87" s="157"/>
      <c r="O87" s="157"/>
      <c r="P87" s="218"/>
      <c r="Q87" s="224"/>
      <c r="R87" s="177"/>
      <c r="S87" s="177"/>
      <c r="T87" s="177"/>
      <c r="U87" s="177"/>
      <c r="V87" s="225"/>
      <c r="W87" s="220"/>
    </row>
    <row r="88" spans="1:27" customFormat="1" ht="30" x14ac:dyDescent="0.25">
      <c r="A88" s="155" t="s">
        <v>10</v>
      </c>
      <c r="B88" s="175"/>
      <c r="C88" s="175"/>
      <c r="D88" s="298" t="s">
        <v>961</v>
      </c>
      <c r="E88" s="175"/>
      <c r="F88" s="300" t="s">
        <v>559</v>
      </c>
      <c r="G88" s="302" t="s">
        <v>962</v>
      </c>
      <c r="H88" s="176"/>
      <c r="I88" s="175"/>
      <c r="J88" s="175"/>
      <c r="K88" s="175"/>
      <c r="L88" s="175"/>
      <c r="M88" s="175"/>
      <c r="N88" s="175"/>
      <c r="O88" s="195"/>
      <c r="P88" s="201"/>
      <c r="Q88" s="175"/>
      <c r="R88" s="175"/>
      <c r="S88" s="238"/>
      <c r="T88" s="175"/>
      <c r="U88" s="202"/>
      <c r="V88" s="196"/>
      <c r="Z88" s="1"/>
      <c r="AA88" s="1"/>
    </row>
    <row r="89" spans="1:27" customFormat="1" ht="30" x14ac:dyDescent="0.25">
      <c r="A89" s="175"/>
      <c r="B89" s="175"/>
      <c r="C89" s="175"/>
      <c r="D89" s="175"/>
      <c r="E89" s="175"/>
      <c r="F89" s="301" t="s">
        <v>437</v>
      </c>
      <c r="G89" s="302" t="s">
        <v>965</v>
      </c>
      <c r="H89" s="176"/>
      <c r="I89" s="175"/>
      <c r="J89" s="175"/>
      <c r="K89" s="175"/>
      <c r="L89" s="175"/>
      <c r="M89" s="175"/>
      <c r="N89" s="175"/>
      <c r="O89" s="195"/>
      <c r="P89" s="201"/>
      <c r="Q89" s="175"/>
      <c r="R89" s="175"/>
      <c r="S89" s="238"/>
      <c r="T89" s="175"/>
      <c r="U89" s="202"/>
      <c r="V89" s="196"/>
      <c r="Z89" s="1"/>
      <c r="AA89" s="1"/>
    </row>
    <row r="90" spans="1:27" ht="30" x14ac:dyDescent="0.25">
      <c r="A90" s="155" t="s">
        <v>10</v>
      </c>
      <c r="B90" s="155" t="s">
        <v>548</v>
      </c>
      <c r="C90" s="155"/>
      <c r="D90" s="155" t="s">
        <v>549</v>
      </c>
      <c r="E90" s="155"/>
      <c r="F90" s="155" t="s">
        <v>550</v>
      </c>
      <c r="G90" s="172" t="s">
        <v>843</v>
      </c>
      <c r="H90" s="171"/>
      <c r="I90" s="155"/>
      <c r="J90" s="155"/>
      <c r="K90" s="157"/>
      <c r="L90" s="157">
        <v>2</v>
      </c>
      <c r="M90" s="157">
        <v>3</v>
      </c>
      <c r="N90" s="157"/>
      <c r="O90" s="157"/>
      <c r="P90" s="218"/>
      <c r="Q90" s="224"/>
      <c r="R90" s="177"/>
      <c r="S90" s="177"/>
      <c r="T90" s="177"/>
      <c r="U90" s="177"/>
      <c r="V90" s="225"/>
      <c r="W90" s="220"/>
    </row>
    <row r="91" spans="1:27" ht="15.75" thickBot="1" x14ac:dyDescent="0.3">
      <c r="A91" s="155"/>
      <c r="B91" s="155"/>
      <c r="C91" s="155"/>
      <c r="D91" s="155"/>
      <c r="E91" s="155"/>
      <c r="F91" s="155" t="s">
        <v>551</v>
      </c>
      <c r="G91" s="172" t="s">
        <v>552</v>
      </c>
      <c r="H91" s="171"/>
      <c r="I91" s="155"/>
      <c r="J91" s="155"/>
      <c r="K91" s="157"/>
      <c r="L91" s="157"/>
      <c r="M91" s="157"/>
      <c r="N91" s="157"/>
      <c r="O91" s="157"/>
      <c r="P91" s="218"/>
      <c r="Q91" s="226"/>
      <c r="R91" s="227"/>
      <c r="S91" s="227"/>
      <c r="T91" s="227"/>
      <c r="U91" s="227"/>
      <c r="V91" s="228"/>
      <c r="W91" s="220"/>
    </row>
    <row r="92" spans="1:27" x14ac:dyDescent="0.25">
      <c r="A92" s="155" t="s">
        <v>10</v>
      </c>
      <c r="B92" s="252" t="s">
        <v>808</v>
      </c>
      <c r="C92" s="252"/>
      <c r="D92" s="252"/>
      <c r="E92" s="252"/>
      <c r="F92" s="252" t="s">
        <v>809</v>
      </c>
      <c r="G92" s="263" t="s">
        <v>502</v>
      </c>
    </row>
    <row r="93" spans="1:27" x14ac:dyDescent="0.25">
      <c r="A93" s="175"/>
      <c r="B93" s="252"/>
      <c r="C93" s="252"/>
      <c r="D93" s="252"/>
      <c r="E93" s="252"/>
      <c r="F93" s="252" t="s">
        <v>810</v>
      </c>
      <c r="G93" s="263" t="s">
        <v>502</v>
      </c>
    </row>
    <row r="94" spans="1:27" x14ac:dyDescent="0.25">
      <c r="A94" s="175"/>
      <c r="B94" s="254"/>
      <c r="C94" s="158"/>
      <c r="D94" s="158"/>
      <c r="E94" s="158"/>
      <c r="F94" s="158" t="s">
        <v>811</v>
      </c>
      <c r="G94" s="263" t="s">
        <v>502</v>
      </c>
    </row>
  </sheetData>
  <mergeCells count="1">
    <mergeCell ref="Q1:V1"/>
  </mergeCells>
  <phoneticPr fontId="42" type="noConversion"/>
  <conditionalFormatting sqref="A3:P7 H77:P84 G77:G82 J35:W61 J13:P34 Q3:W34 H19:I19 G18:I18 J64:P64 Q64:W74 Q62:V63 Q77:W87 Q75:V76 Q90:W91">
    <cfRule type="expression" dxfId="440" priority="201">
      <formula>ISBLANK(A3)</formula>
    </cfRule>
  </conditionalFormatting>
  <conditionalFormatting sqref="K3:P3 A3:J7 A73:P74 B72:P72 A80:E84 A77:G79 H77:P84 J35:W61 J13:P34 Q3:W34 A30:F30 G28:I30 H18:I19 J64:P64 Q64:W74 A63:O63 J62:O62 P62:V63 Q77:W87 A76:O76 J75:O75 P75:V76 Q90:W91">
    <cfRule type="expression" dxfId="439" priority="200">
      <formula>$A3&lt;&gt;""</formula>
    </cfRule>
  </conditionalFormatting>
  <conditionalFormatting sqref="N2:P2">
    <cfRule type="expression" dxfId="438" priority="202">
      <formula>IF(AND(AND(NOT(ISBLANK($E2)), $E2&lt;&gt;0),#REF!&lt;0), IF(#REF!="Daily",AND(#REF!&lt;=COLUMN()-COLUMN(#REF!), #REF!&gt;COLUMN()-COLUMN(#REF!)-1),AND(FLOOR(#REF!*24,1)&lt;=COLUMN()-COLUMN(#REF!),(#REF!*24)&gt;COLUMN()-COLUMN(#REF!))),"")</formula>
    </cfRule>
    <cfRule type="expression" dxfId="437" priority="203">
      <formula>IF(AND(AND(NOT(ISBLANK($E2)), $E2&lt;&gt;0),#REF!&gt;0), IF(#REF!="Daily",AND(#REF!&lt;=COLUMN()-COLUMN(#REF!), #REF!&gt;COLUMN()-COLUMN(#REF!)-1),AND(FLOOR(#REF!*24,1)&lt;=COLUMN()-COLUMN(#REF!),(#REF!*24)&gt;COLUMN()-COLUMN(#REF!))),"")</formula>
    </cfRule>
    <cfRule type="expression" dxfId="436" priority="204">
      <formula>IF(AND(AND(NOT(ISBLANK($E2)), $E2&lt;&gt;0),#REF!=0),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3:P7">
    <cfRule type="expression" dxfId="435" priority="199">
      <formula>#REF!&lt;&gt;""</formula>
    </cfRule>
  </conditionalFormatting>
  <conditionalFormatting sqref="A8:P12">
    <cfRule type="expression" dxfId="434" priority="198">
      <formula>ISBLANK(A8)</formula>
    </cfRule>
  </conditionalFormatting>
  <conditionalFormatting sqref="K8:P8 A8:J12">
    <cfRule type="expression" dxfId="433" priority="197">
      <formula>$A8&lt;&gt;""</formula>
    </cfRule>
  </conditionalFormatting>
  <conditionalFormatting sqref="K8:P12">
    <cfRule type="expression" dxfId="432" priority="196">
      <formula>#REF!&lt;&gt;""</formula>
    </cfRule>
  </conditionalFormatting>
  <conditionalFormatting sqref="A13:I17 A18:A26 A30 G21:I21 H20:I20">
    <cfRule type="expression" dxfId="431" priority="195">
      <formula>ISBLANK(A13)</formula>
    </cfRule>
  </conditionalFormatting>
  <conditionalFormatting sqref="A13:I17 A18:A26 G21:I21 H20:I20">
    <cfRule type="expression" dxfId="430" priority="194">
      <formula>$A13&lt;&gt;""</formula>
    </cfRule>
  </conditionalFormatting>
  <conditionalFormatting sqref="B18:F21">
    <cfRule type="expression" dxfId="429" priority="190">
      <formula>$A18&lt;&gt;""</formula>
    </cfRule>
  </conditionalFormatting>
  <conditionalFormatting sqref="B18:F21 A73:P73 B72:P72 A77:F79 A80:E84 F80:F82 A63:O63 J62:O62 P62:V63">
    <cfRule type="expression" dxfId="428" priority="191">
      <formula>ISBLANK(A18)</formula>
    </cfRule>
  </conditionalFormatting>
  <conditionalFormatting sqref="B22:F26">
    <cfRule type="expression" dxfId="427" priority="188">
      <formula>$A22&lt;&gt;""</formula>
    </cfRule>
  </conditionalFormatting>
  <conditionalFormatting sqref="B22:F26 B30:F30">
    <cfRule type="expression" dxfId="426" priority="189">
      <formula>ISBLANK(B22)</formula>
    </cfRule>
  </conditionalFormatting>
  <conditionalFormatting sqref="G23:I26 G22:H22 G28:I30 G27:H27">
    <cfRule type="expression" dxfId="425" priority="187">
      <formula>ISBLANK(G22)</formula>
    </cfRule>
  </conditionalFormatting>
  <conditionalFormatting sqref="G23:I26 G22:H22 G27:H27">
    <cfRule type="expression" dxfId="424" priority="186">
      <formula>$A22&lt;&gt;""</formula>
    </cfRule>
  </conditionalFormatting>
  <conditionalFormatting sqref="A27:F29">
    <cfRule type="expression" dxfId="423" priority="185">
      <formula>ISBLANK(A27)</formula>
    </cfRule>
  </conditionalFormatting>
  <conditionalFormatting sqref="A27:F29">
    <cfRule type="expression" dxfId="422" priority="184">
      <formula>$A27&lt;&gt;""</formula>
    </cfRule>
  </conditionalFormatting>
  <conditionalFormatting sqref="A31:F34">
    <cfRule type="expression" dxfId="421" priority="182">
      <formula>$A31&lt;&gt;""</formula>
    </cfRule>
  </conditionalFormatting>
  <conditionalFormatting sqref="A31:F34">
    <cfRule type="expression" dxfId="420" priority="183">
      <formula>ISBLANK(A31)</formula>
    </cfRule>
  </conditionalFormatting>
  <conditionalFormatting sqref="G32:I32 G31:H31 G34:I34 H33:I33">
    <cfRule type="expression" dxfId="419" priority="181">
      <formula>ISBLANK(G31)</formula>
    </cfRule>
  </conditionalFormatting>
  <conditionalFormatting sqref="G32:I32 G31:H31 G34:I34 H33:I33">
    <cfRule type="expression" dxfId="418" priority="180">
      <formula>$A31&lt;&gt;""</formula>
    </cfRule>
  </conditionalFormatting>
  <conditionalFormatting sqref="A38:I42 G48:I52 A36:H37">
    <cfRule type="expression" dxfId="417" priority="179">
      <formula>ISBLANK(A36)</formula>
    </cfRule>
  </conditionalFormatting>
  <conditionalFormatting sqref="A38:I42 G48:I52 A36:H37">
    <cfRule type="expression" dxfId="416" priority="178">
      <formula>$A36&lt;&gt;""</formula>
    </cfRule>
  </conditionalFormatting>
  <conditionalFormatting sqref="A54:F54 B53:F53">
    <cfRule type="expression" dxfId="415" priority="176">
      <formula>ISBLANK(A53)</formula>
    </cfRule>
  </conditionalFormatting>
  <conditionalFormatting sqref="A54:F54 B53:F53">
    <cfRule type="expression" dxfId="414" priority="175">
      <formula>$A53&lt;&gt;""</formula>
    </cfRule>
  </conditionalFormatting>
  <conditionalFormatting sqref="F53:F54">
    <cfRule type="expression" dxfId="413" priority="177">
      <formula>ISBLANK(F53)</formula>
    </cfRule>
  </conditionalFormatting>
  <conditionalFormatting sqref="A53">
    <cfRule type="expression" dxfId="412" priority="174">
      <formula>ISBLANK(A53)</formula>
    </cfRule>
  </conditionalFormatting>
  <conditionalFormatting sqref="A53">
    <cfRule type="expression" dxfId="411" priority="173">
      <formula>$A53&lt;&gt;""</formula>
    </cfRule>
  </conditionalFormatting>
  <conditionalFormatting sqref="G53:I54">
    <cfRule type="expression" dxfId="410" priority="172">
      <formula>ISBLANK(G53)</formula>
    </cfRule>
  </conditionalFormatting>
  <conditionalFormatting sqref="G53:I54">
    <cfRule type="expression" dxfId="409" priority="171">
      <formula>$A53&lt;&gt;""</formula>
    </cfRule>
  </conditionalFormatting>
  <conditionalFormatting sqref="A56:F57 B55:G55 A59:F61 B58:G58">
    <cfRule type="expression" dxfId="408" priority="169">
      <formula>ISBLANK(A55)</formula>
    </cfRule>
  </conditionalFormatting>
  <conditionalFormatting sqref="A56:F57 B55:G55 A59:F61 B58:G58">
    <cfRule type="expression" dxfId="407" priority="168">
      <formula>$A55&lt;&gt;""</formula>
    </cfRule>
  </conditionalFormatting>
  <conditionalFormatting sqref="G55 G64 G58 F55:F61 F64:F66">
    <cfRule type="expression" dxfId="406" priority="170">
      <formula>ISBLANK(F55)</formula>
    </cfRule>
  </conditionalFormatting>
  <conditionalFormatting sqref="A55">
    <cfRule type="expression" dxfId="405" priority="167">
      <formula>ISBLANK(A55)</formula>
    </cfRule>
  </conditionalFormatting>
  <conditionalFormatting sqref="A55">
    <cfRule type="expression" dxfId="404" priority="166">
      <formula>$A55&lt;&gt;""</formula>
    </cfRule>
  </conditionalFormatting>
  <conditionalFormatting sqref="A65:F66 B64:G64 A74:P74">
    <cfRule type="expression" dxfId="403" priority="165">
      <formula>ISBLANK(A64)</formula>
    </cfRule>
  </conditionalFormatting>
  <conditionalFormatting sqref="A65:F66 B64:G64">
    <cfRule type="expression" dxfId="402" priority="164">
      <formula>$A64&lt;&gt;""</formula>
    </cfRule>
  </conditionalFormatting>
  <conditionalFormatting sqref="A64">
    <cfRule type="expression" dxfId="401" priority="163">
      <formula>ISBLANK(A64)</formula>
    </cfRule>
  </conditionalFormatting>
  <conditionalFormatting sqref="A64">
    <cfRule type="expression" dxfId="400" priority="162">
      <formula>$A64&lt;&gt;""</formula>
    </cfRule>
  </conditionalFormatting>
  <conditionalFormatting sqref="F82">
    <cfRule type="expression" dxfId="399" priority="161">
      <formula>ISBLANK(F82)</formula>
    </cfRule>
  </conditionalFormatting>
  <conditionalFormatting sqref="H56:I57 H55 H59:I61 H58 H64:I71">
    <cfRule type="expression" dxfId="398" priority="158">
      <formula>ISBLANK(H55)</formula>
    </cfRule>
  </conditionalFormatting>
  <conditionalFormatting sqref="H56:I57 H55 H59:I61 H58 H64:I71">
    <cfRule type="expression" dxfId="397" priority="157">
      <formula>$A55&lt;&gt;""</formula>
    </cfRule>
  </conditionalFormatting>
  <conditionalFormatting sqref="J66:P71 J65:K65 M65:P65">
    <cfRule type="expression" dxfId="396" priority="154">
      <formula>ISBLANK(J65)</formula>
    </cfRule>
  </conditionalFormatting>
  <conditionalFormatting sqref="J66:P71 J65:K65 M65:P65">
    <cfRule type="expression" dxfId="395" priority="153">
      <formula>$A65&lt;&gt;""</formula>
    </cfRule>
  </conditionalFormatting>
  <conditionalFormatting sqref="L65">
    <cfRule type="expression" dxfId="394" priority="140">
      <formula>ISBLANK(L65)</formula>
    </cfRule>
  </conditionalFormatting>
  <conditionalFormatting sqref="L65">
    <cfRule type="expression" dxfId="393" priority="139">
      <formula>$A65&lt;&gt;""</formula>
    </cfRule>
  </conditionalFormatting>
  <conditionalFormatting sqref="I36:I37 I31 I27 I22">
    <cfRule type="expression" dxfId="392" priority="138">
      <formula>ISBLANK(I22)</formula>
    </cfRule>
  </conditionalFormatting>
  <conditionalFormatting sqref="I36:I37 I31 I27 I22">
    <cfRule type="expression" dxfId="391" priority="137">
      <formula>$A22&lt;&gt;""</formula>
    </cfRule>
  </conditionalFormatting>
  <conditionalFormatting sqref="A48:F52">
    <cfRule type="expression" dxfId="390" priority="135">
      <formula>$A48&lt;&gt;""</formula>
    </cfRule>
  </conditionalFormatting>
  <conditionalFormatting sqref="A48:F52">
    <cfRule type="expression" dxfId="389" priority="136">
      <formula>ISBLANK(A48)</formula>
    </cfRule>
  </conditionalFormatting>
  <conditionalFormatting sqref="I55">
    <cfRule type="expression" dxfId="388" priority="134">
      <formula>ISBLANK(I55)</formula>
    </cfRule>
  </conditionalFormatting>
  <conditionalFormatting sqref="I55">
    <cfRule type="expression" dxfId="387" priority="133">
      <formula>$A55&lt;&gt;""</formula>
    </cfRule>
  </conditionalFormatting>
  <conditionalFormatting sqref="A72">
    <cfRule type="expression" dxfId="386" priority="127">
      <formula>ISBLANK(A72)</formula>
    </cfRule>
  </conditionalFormatting>
  <conditionalFormatting sqref="A72">
    <cfRule type="expression" dxfId="385" priority="126">
      <formula>$A72&lt;&gt;""</formula>
    </cfRule>
  </conditionalFormatting>
  <conditionalFormatting sqref="G85:P85 A91:F91 G90:P91 H86:P87">
    <cfRule type="expression" dxfId="384" priority="123">
      <formula>$A85&lt;&gt;""</formula>
    </cfRule>
  </conditionalFormatting>
  <conditionalFormatting sqref="G85:P85 G90:P91 H86:P87">
    <cfRule type="expression" dxfId="383" priority="122">
      <formula>ISBLANK(G85)</formula>
    </cfRule>
  </conditionalFormatting>
  <conditionalFormatting sqref="A86:F87 B85:F85">
    <cfRule type="expression" dxfId="382" priority="121">
      <formula>ISBLANK(A85)</formula>
    </cfRule>
  </conditionalFormatting>
  <conditionalFormatting sqref="A86:F87 B85:F85">
    <cfRule type="expression" dxfId="381" priority="120">
      <formula>$A85&lt;&gt;""</formula>
    </cfRule>
  </conditionalFormatting>
  <conditionalFormatting sqref="A91:F91 B90:F90">
    <cfRule type="expression" dxfId="380" priority="117">
      <formula>ISBLANK(A90)</formula>
    </cfRule>
  </conditionalFormatting>
  <conditionalFormatting sqref="B90:F90">
    <cfRule type="expression" dxfId="379" priority="116">
      <formula>$A90&lt;&gt;""</formula>
    </cfRule>
  </conditionalFormatting>
  <conditionalFormatting sqref="F80:G82">
    <cfRule type="expression" dxfId="378" priority="290">
      <formula>$A82&lt;&gt;""</formula>
    </cfRule>
  </conditionalFormatting>
  <conditionalFormatting sqref="F84">
    <cfRule type="expression" dxfId="377" priority="113">
      <formula>ISBLANK(F84)</formula>
    </cfRule>
  </conditionalFormatting>
  <conditionalFormatting sqref="F84">
    <cfRule type="expression" dxfId="376" priority="112">
      <formula>$A84&lt;&gt;""</formula>
    </cfRule>
  </conditionalFormatting>
  <conditionalFormatting sqref="Q1:S2">
    <cfRule type="containsText" dxfId="375" priority="110" operator="containsText" text="x">
      <formula>NOT(ISERROR(SEARCH("x",Q1)))</formula>
    </cfRule>
  </conditionalFormatting>
  <conditionalFormatting sqref="A93:G94 B92:G92">
    <cfRule type="expression" dxfId="374" priority="109">
      <formula>ISBLANK(A92)</formula>
    </cfRule>
  </conditionalFormatting>
  <conditionalFormatting sqref="A93:G94 B92:G92">
    <cfRule type="expression" dxfId="373" priority="108">
      <formula>$A92&lt;&gt;""</formula>
    </cfRule>
  </conditionalFormatting>
  <conditionalFormatting sqref="A93:A94 F92:G94">
    <cfRule type="expression" dxfId="372" priority="107">
      <formula>ISBLANK(A92)</formula>
    </cfRule>
  </conditionalFormatting>
  <conditionalFormatting sqref="G92:G94">
    <cfRule type="expression" dxfId="371" priority="106">
      <formula>$A92&lt;&gt;""</formula>
    </cfRule>
  </conditionalFormatting>
  <conditionalFormatting sqref="G92:G94">
    <cfRule type="expression" dxfId="370" priority="105">
      <formula>ISBLANK(G92)</formula>
    </cfRule>
  </conditionalFormatting>
  <conditionalFormatting sqref="G33">
    <cfRule type="expression" dxfId="369" priority="97">
      <formula>ISBLANK(G33)</formula>
    </cfRule>
  </conditionalFormatting>
  <conditionalFormatting sqref="G33">
    <cfRule type="expression" dxfId="368" priority="96">
      <formula>$A33&lt;&gt;""</formula>
    </cfRule>
  </conditionalFormatting>
  <conditionalFormatting sqref="G33">
    <cfRule type="expression" dxfId="367" priority="95">
      <formula>ISBLANK(G33)</formula>
    </cfRule>
  </conditionalFormatting>
  <conditionalFormatting sqref="G20">
    <cfRule type="expression" dxfId="366" priority="94">
      <formula>ISBLANK(G20)</formula>
    </cfRule>
  </conditionalFormatting>
  <conditionalFormatting sqref="G20">
    <cfRule type="expression" dxfId="365" priority="93">
      <formula>$A20&lt;&gt;""</formula>
    </cfRule>
  </conditionalFormatting>
  <conditionalFormatting sqref="G20">
    <cfRule type="expression" dxfId="364" priority="92">
      <formula>ISBLANK(G20)</formula>
    </cfRule>
  </conditionalFormatting>
  <conditionalFormatting sqref="A58">
    <cfRule type="expression" dxfId="363" priority="91">
      <formula>ISBLANK(A58)</formula>
    </cfRule>
  </conditionalFormatting>
  <conditionalFormatting sqref="A58">
    <cfRule type="expression" dxfId="362" priority="90">
      <formula>$A58&lt;&gt;""</formula>
    </cfRule>
  </conditionalFormatting>
  <conditionalFormatting sqref="I58">
    <cfRule type="expression" dxfId="361" priority="89">
      <formula>ISBLANK(I58)</formula>
    </cfRule>
  </conditionalFormatting>
  <conditionalFormatting sqref="I58">
    <cfRule type="expression" dxfId="360" priority="88">
      <formula>$A58&lt;&gt;""</formula>
    </cfRule>
  </conditionalFormatting>
  <conditionalFormatting sqref="G67:G71">
    <cfRule type="expression" dxfId="359" priority="87">
      <formula>ISBLANK(G67)</formula>
    </cfRule>
  </conditionalFormatting>
  <conditionalFormatting sqref="G67:G71">
    <cfRule type="expression" dxfId="358" priority="86">
      <formula>$A67&lt;&gt;""</formula>
    </cfRule>
  </conditionalFormatting>
  <conditionalFormatting sqref="A68:F71 B67:F67">
    <cfRule type="expression" dxfId="357" priority="84">
      <formula>$A67&lt;&gt;""</formula>
    </cfRule>
  </conditionalFormatting>
  <conditionalFormatting sqref="A68:F71 B67:F67">
    <cfRule type="expression" dxfId="356" priority="85">
      <formula>ISBLANK(A67)</formula>
    </cfRule>
  </conditionalFormatting>
  <conditionalFormatting sqref="A67">
    <cfRule type="expression" dxfId="355" priority="83">
      <formula>ISBLANK(A67)</formula>
    </cfRule>
  </conditionalFormatting>
  <conditionalFormatting sqref="A67">
    <cfRule type="expression" dxfId="354" priority="82">
      <formula>$A67&lt;&gt;""</formula>
    </cfRule>
  </conditionalFormatting>
  <conditionalFormatting sqref="A35">
    <cfRule type="expression" dxfId="353" priority="81">
      <formula>ISBLANK(A35)</formula>
    </cfRule>
  </conditionalFormatting>
  <conditionalFormatting sqref="A35">
    <cfRule type="expression" dxfId="352" priority="80">
      <formula>$A35&lt;&gt;""</formula>
    </cfRule>
  </conditionalFormatting>
  <conditionalFormatting sqref="B35:F35">
    <cfRule type="expression" dxfId="351" priority="78">
      <formula>$A35&lt;&gt;""</formula>
    </cfRule>
  </conditionalFormatting>
  <conditionalFormatting sqref="B35:F35">
    <cfRule type="expression" dxfId="350" priority="79">
      <formula>ISBLANK(B35)</formula>
    </cfRule>
  </conditionalFormatting>
  <conditionalFormatting sqref="G35:I35">
    <cfRule type="expression" dxfId="349" priority="77">
      <formula>ISBLANK(G35)</formula>
    </cfRule>
  </conditionalFormatting>
  <conditionalFormatting sqref="G35:I35">
    <cfRule type="expression" dxfId="348" priority="76">
      <formula>$A35&lt;&gt;""</formula>
    </cfRule>
  </conditionalFormatting>
  <conditionalFormatting sqref="G65">
    <cfRule type="expression" dxfId="347" priority="75">
      <formula>ISBLANK(G65)</formula>
    </cfRule>
  </conditionalFormatting>
  <conditionalFormatting sqref="G65">
    <cfRule type="expression" dxfId="346" priority="74">
      <formula>$A65&lt;&gt;""</formula>
    </cfRule>
  </conditionalFormatting>
  <conditionalFormatting sqref="G86:G87">
    <cfRule type="expression" dxfId="345" priority="73">
      <formula>$A86&lt;&gt;""</formula>
    </cfRule>
  </conditionalFormatting>
  <conditionalFormatting sqref="G86:G87">
    <cfRule type="expression" dxfId="344" priority="72">
      <formula>ISBLANK(G86)</formula>
    </cfRule>
  </conditionalFormatting>
  <conditionalFormatting sqref="G86:G87">
    <cfRule type="expression" dxfId="343" priority="70">
      <formula>ISBLANK(G86)</formula>
    </cfRule>
    <cfRule type="expression" dxfId="342" priority="71">
      <formula>$A86&lt;&gt;""</formula>
    </cfRule>
  </conditionalFormatting>
  <conditionalFormatting sqref="G18">
    <cfRule type="expression" dxfId="341" priority="732">
      <formula>$A19&lt;&gt;""</formula>
    </cfRule>
  </conditionalFormatting>
  <conditionalFormatting sqref="A43:F46">
    <cfRule type="expression" dxfId="340" priority="68">
      <formula>$A43&lt;&gt;""</formula>
    </cfRule>
  </conditionalFormatting>
  <conditionalFormatting sqref="A43:F46">
    <cfRule type="expression" dxfId="339" priority="69">
      <formula>ISBLANK(A43)</formula>
    </cfRule>
  </conditionalFormatting>
  <conditionalFormatting sqref="G43:H43 G46:I46 H44:I45">
    <cfRule type="expression" dxfId="338" priority="67">
      <formula>ISBLANK(G43)</formula>
    </cfRule>
  </conditionalFormatting>
  <conditionalFormatting sqref="G43:H43 G46:I46 H44:I45">
    <cfRule type="expression" dxfId="337" priority="66">
      <formula>$A43&lt;&gt;""</formula>
    </cfRule>
  </conditionalFormatting>
  <conditionalFormatting sqref="I43">
    <cfRule type="expression" dxfId="336" priority="65">
      <formula>ISBLANK(I43)</formula>
    </cfRule>
  </conditionalFormatting>
  <conditionalFormatting sqref="I43">
    <cfRule type="expression" dxfId="335" priority="64">
      <formula>$A43&lt;&gt;""</formula>
    </cfRule>
  </conditionalFormatting>
  <conditionalFormatting sqref="G45">
    <cfRule type="expression" dxfId="334" priority="63">
      <formula>ISBLANK(G45)</formula>
    </cfRule>
  </conditionalFormatting>
  <conditionalFormatting sqref="G45">
    <cfRule type="expression" dxfId="333" priority="62">
      <formula>$A45&lt;&gt;""</formula>
    </cfRule>
  </conditionalFormatting>
  <conditionalFormatting sqref="G45">
    <cfRule type="expression" dxfId="332" priority="61">
      <formula>ISBLANK(G45)</formula>
    </cfRule>
  </conditionalFormatting>
  <conditionalFormatting sqref="A47">
    <cfRule type="expression" dxfId="331" priority="60">
      <formula>ISBLANK(A47)</formula>
    </cfRule>
  </conditionalFormatting>
  <conditionalFormatting sqref="A47">
    <cfRule type="expression" dxfId="330" priority="59">
      <formula>$A47&lt;&gt;""</formula>
    </cfRule>
  </conditionalFormatting>
  <conditionalFormatting sqref="B47:F47">
    <cfRule type="expression" dxfId="329" priority="57">
      <formula>$A47&lt;&gt;""</formula>
    </cfRule>
  </conditionalFormatting>
  <conditionalFormatting sqref="B47:F47">
    <cfRule type="expression" dxfId="328" priority="58">
      <formula>ISBLANK(B47)</formula>
    </cfRule>
  </conditionalFormatting>
  <conditionalFormatting sqref="G47:I47">
    <cfRule type="expression" dxfId="327" priority="56">
      <formula>ISBLANK(G47)</formula>
    </cfRule>
  </conditionalFormatting>
  <conditionalFormatting sqref="G47:I47">
    <cfRule type="expression" dxfId="326" priority="55">
      <formula>$A47&lt;&gt;""</formula>
    </cfRule>
  </conditionalFormatting>
  <conditionalFormatting sqref="G44">
    <cfRule type="expression" dxfId="325" priority="54">
      <formula>ISBLANK(G44)</formula>
    </cfRule>
  </conditionalFormatting>
  <conditionalFormatting sqref="G44">
    <cfRule type="expression" dxfId="324" priority="53">
      <formula>$A44&lt;&gt;""</formula>
    </cfRule>
  </conditionalFormatting>
  <conditionalFormatting sqref="F62:G63">
    <cfRule type="expression" dxfId="323" priority="52">
      <formula>ISBLANK(F62)</formula>
    </cfRule>
  </conditionalFormatting>
  <conditionalFormatting sqref="B62:H62">
    <cfRule type="expression" dxfId="322" priority="51">
      <formula>$A62&lt;&gt;""</formula>
    </cfRule>
  </conditionalFormatting>
  <conditionalFormatting sqref="B62:H62">
    <cfRule type="expression" dxfId="321" priority="50">
      <formula>ISBLANK(B62)</formula>
    </cfRule>
  </conditionalFormatting>
  <conditionalFormatting sqref="E62:E63">
    <cfRule type="expression" dxfId="320" priority="49">
      <formula>ISBLANK(E62)</formula>
    </cfRule>
  </conditionalFormatting>
  <conditionalFormatting sqref="E62:E63">
    <cfRule type="expression" dxfId="319" priority="48">
      <formula>$A62&lt;&gt;""</formula>
    </cfRule>
  </conditionalFormatting>
  <conditionalFormatting sqref="F62:F63">
    <cfRule type="expression" dxfId="318" priority="47">
      <formula>ISBLANK(F62)</formula>
    </cfRule>
  </conditionalFormatting>
  <conditionalFormatting sqref="F62:F63">
    <cfRule type="expression" dxfId="317" priority="46">
      <formula>ISBLANK(F62)</formula>
    </cfRule>
  </conditionalFormatting>
  <conditionalFormatting sqref="I62">
    <cfRule type="expression" dxfId="316" priority="38">
      <formula>ISBLANK(I62)</formula>
    </cfRule>
  </conditionalFormatting>
  <conditionalFormatting sqref="I62">
    <cfRule type="expression" dxfId="315" priority="37">
      <formula>$A62&lt;&gt;""</formula>
    </cfRule>
  </conditionalFormatting>
  <conditionalFormatting sqref="A62">
    <cfRule type="expression" dxfId="314" priority="36">
      <formula>ISBLANK(A62)</formula>
    </cfRule>
  </conditionalFormatting>
  <conditionalFormatting sqref="A62">
    <cfRule type="expression" dxfId="313" priority="35">
      <formula>$A62&lt;&gt;""</formula>
    </cfRule>
  </conditionalFormatting>
  <conditionalFormatting sqref="A76:O76 J75:O75 P75:V76">
    <cfRule type="expression" dxfId="312" priority="34">
      <formula>ISBLANK(A75)</formula>
    </cfRule>
  </conditionalFormatting>
  <conditionalFormatting sqref="F75:G76">
    <cfRule type="expression" dxfId="311" priority="33">
      <formula>ISBLANK(F75)</formula>
    </cfRule>
  </conditionalFormatting>
  <conditionalFormatting sqref="B75:H75">
    <cfRule type="expression" dxfId="310" priority="32">
      <formula>$A75&lt;&gt;""</formula>
    </cfRule>
  </conditionalFormatting>
  <conditionalFormatting sqref="B75:H75">
    <cfRule type="expression" dxfId="309" priority="31">
      <formula>ISBLANK(B75)</formula>
    </cfRule>
  </conditionalFormatting>
  <conditionalFormatting sqref="E75:E76">
    <cfRule type="expression" dxfId="308" priority="30">
      <formula>ISBLANK(E75)</formula>
    </cfRule>
  </conditionalFormatting>
  <conditionalFormatting sqref="E75:E76">
    <cfRule type="expression" dxfId="307" priority="29">
      <formula>$A75&lt;&gt;""</formula>
    </cfRule>
  </conditionalFormatting>
  <conditionalFormatting sqref="F75:F76">
    <cfRule type="expression" dxfId="306" priority="28">
      <formula>ISBLANK(F75)</formula>
    </cfRule>
  </conditionalFormatting>
  <conditionalFormatting sqref="F75:F76">
    <cfRule type="expression" dxfId="305" priority="27">
      <formula>ISBLANK(F75)</formula>
    </cfRule>
  </conditionalFormatting>
  <conditionalFormatting sqref="I75">
    <cfRule type="expression" dxfId="304" priority="26">
      <formula>ISBLANK(I75)</formula>
    </cfRule>
  </conditionalFormatting>
  <conditionalFormatting sqref="I75">
    <cfRule type="expression" dxfId="303" priority="25">
      <formula>$A75&lt;&gt;""</formula>
    </cfRule>
  </conditionalFormatting>
  <conditionalFormatting sqref="A75">
    <cfRule type="expression" dxfId="302" priority="24">
      <formula>ISBLANK(A75)</formula>
    </cfRule>
  </conditionalFormatting>
  <conditionalFormatting sqref="A75">
    <cfRule type="expression" dxfId="301" priority="23">
      <formula>$A75&lt;&gt;""</formula>
    </cfRule>
  </conditionalFormatting>
  <conditionalFormatting sqref="H88:V89">
    <cfRule type="expression" dxfId="300" priority="21">
      <formula>ISBLANK(H88)</formula>
    </cfRule>
  </conditionalFormatting>
  <conditionalFormatting sqref="H88:V89">
    <cfRule type="expression" dxfId="299" priority="20">
      <formula>$A88&lt;&gt;""</formula>
    </cfRule>
  </conditionalFormatting>
  <conditionalFormatting sqref="K88:O89">
    <cfRule type="expression" dxfId="298" priority="22">
      <formula>#REF!&lt;&gt;""</formula>
    </cfRule>
  </conditionalFormatting>
  <conditionalFormatting sqref="A89:F89 B88:F88">
    <cfRule type="expression" dxfId="297" priority="19">
      <formula>$A88&lt;&gt;""</formula>
    </cfRule>
  </conditionalFormatting>
  <conditionalFormatting sqref="A89:F89 B88:F88">
    <cfRule type="expression" dxfId="296" priority="18">
      <formula>ISBLANK(A88)</formula>
    </cfRule>
  </conditionalFormatting>
  <conditionalFormatting sqref="D88:D89">
    <cfRule type="expression" dxfId="295" priority="17">
      <formula>ISBLANK(D88)</formula>
    </cfRule>
  </conditionalFormatting>
  <conditionalFormatting sqref="F88:F89">
    <cfRule type="expression" dxfId="294" priority="16">
      <formula>ISBLANK(F88)</formula>
    </cfRule>
  </conditionalFormatting>
  <conditionalFormatting sqref="G89">
    <cfRule type="expression" dxfId="293" priority="15">
      <formula>$A89&lt;&gt;""</formula>
    </cfRule>
  </conditionalFormatting>
  <conditionalFormatting sqref="G89">
    <cfRule type="expression" dxfId="292" priority="14">
      <formula>ISBLANK(G89)</formula>
    </cfRule>
  </conditionalFormatting>
  <conditionalFormatting sqref="G89">
    <cfRule type="expression" dxfId="291" priority="12">
      <formula>ISBLANK(G89)</formula>
    </cfRule>
    <cfRule type="expression" dxfId="290" priority="13">
      <formula>$A89&lt;&gt;""</formula>
    </cfRule>
  </conditionalFormatting>
  <conditionalFormatting sqref="G88">
    <cfRule type="expression" dxfId="289" priority="11">
      <formula>$A88&lt;&gt;""</formula>
    </cfRule>
  </conditionalFormatting>
  <conditionalFormatting sqref="G88">
    <cfRule type="expression" dxfId="288" priority="10">
      <formula>ISBLANK(G88)</formula>
    </cfRule>
  </conditionalFormatting>
  <conditionalFormatting sqref="G88">
    <cfRule type="expression" dxfId="287" priority="8">
      <formula>ISBLANK(G88)</formula>
    </cfRule>
    <cfRule type="expression" dxfId="286" priority="9">
      <formula>$A88&lt;&gt;""</formula>
    </cfRule>
  </conditionalFormatting>
  <conditionalFormatting sqref="A92 A90 A88 A85">
    <cfRule type="expression" dxfId="285" priority="2">
      <formula>$A85&lt;&gt;""</formula>
    </cfRule>
  </conditionalFormatting>
  <conditionalFormatting sqref="A92 A90 A88 A85">
    <cfRule type="expression" dxfId="284" priority="1">
      <formula>ISBLANK(A85)</formula>
    </cfRule>
  </conditionalFormatting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E218C-4E56-41DF-8721-2B8BB47A6FB6}">
  <dimension ref="A1:Y144"/>
  <sheetViews>
    <sheetView topLeftCell="A96" zoomScale="85" zoomScaleNormal="85" workbookViewId="0">
      <selection activeCell="A140" sqref="A140"/>
    </sheetView>
  </sheetViews>
  <sheetFormatPr defaultRowHeight="15" x14ac:dyDescent="0.25"/>
  <cols>
    <col min="1" max="1" width="10" customWidth="1"/>
    <col min="2" max="2" width="16.85546875" customWidth="1"/>
    <col min="3" max="3" width="11.28515625" customWidth="1"/>
    <col min="4" max="4" width="31.5703125" customWidth="1"/>
    <col min="5" max="5" width="12.5703125" customWidth="1"/>
    <col min="6" max="6" width="16.5703125" customWidth="1"/>
    <col min="7" max="7" width="17.85546875" style="272" customWidth="1"/>
    <col min="8" max="8" width="9.140625" style="1"/>
    <col min="9" max="9" width="18.140625" customWidth="1"/>
    <col min="10" max="15" width="9.140625" customWidth="1"/>
    <col min="16" max="18" width="2.7109375" bestFit="1" customWidth="1"/>
    <col min="19" max="19" width="2.85546875" bestFit="1" customWidth="1"/>
    <col min="20" max="21" width="2.140625" bestFit="1" customWidth="1"/>
    <col min="22" max="22" width="50.7109375" customWidth="1"/>
    <col min="25" max="25" width="9.140625" style="1"/>
  </cols>
  <sheetData>
    <row r="1" spans="1:25" ht="15.75" thickBot="1" x14ac:dyDescent="0.3">
      <c r="P1" s="316" t="s">
        <v>664</v>
      </c>
      <c r="Q1" s="316"/>
      <c r="R1" s="316"/>
      <c r="S1" s="316"/>
      <c r="T1" s="316"/>
      <c r="U1" s="316"/>
    </row>
    <row r="2" spans="1:25" ht="60" x14ac:dyDescent="0.25">
      <c r="A2" s="147" t="s">
        <v>258</v>
      </c>
      <c r="B2" s="148" t="s">
        <v>380</v>
      </c>
      <c r="C2" s="148" t="s">
        <v>381</v>
      </c>
      <c r="D2" s="148" t="s">
        <v>261</v>
      </c>
      <c r="E2" s="149" t="s">
        <v>382</v>
      </c>
      <c r="F2" s="147" t="s">
        <v>383</v>
      </c>
      <c r="G2" s="267" t="s">
        <v>384</v>
      </c>
      <c r="H2" s="271" t="s">
        <v>265</v>
      </c>
      <c r="I2" s="151" t="s">
        <v>385</v>
      </c>
      <c r="J2" s="151" t="s">
        <v>386</v>
      </c>
      <c r="K2" s="152" t="s">
        <v>387</v>
      </c>
      <c r="L2" s="152" t="s">
        <v>388</v>
      </c>
      <c r="M2" s="153" t="s">
        <v>270</v>
      </c>
      <c r="N2" s="154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19" t="s">
        <v>183</v>
      </c>
    </row>
    <row r="3" spans="1:25" ht="45" x14ac:dyDescent="0.25">
      <c r="A3" s="155" t="s">
        <v>25</v>
      </c>
      <c r="B3" s="155" t="s">
        <v>400</v>
      </c>
      <c r="C3" s="155"/>
      <c r="D3" s="155" t="s">
        <v>877</v>
      </c>
      <c r="E3" s="155" t="s">
        <v>598</v>
      </c>
      <c r="F3" s="155" t="s">
        <v>274</v>
      </c>
      <c r="G3" s="172" t="s">
        <v>845</v>
      </c>
      <c r="H3" s="171"/>
      <c r="I3" s="155" t="s">
        <v>366</v>
      </c>
      <c r="J3" s="155"/>
      <c r="K3" s="155"/>
      <c r="L3" s="155">
        <v>1</v>
      </c>
      <c r="M3" s="155">
        <v>1</v>
      </c>
      <c r="N3" s="155"/>
      <c r="O3" s="217"/>
      <c r="P3" s="230"/>
      <c r="Q3" s="155"/>
      <c r="R3" s="155"/>
      <c r="S3" s="155" t="s">
        <v>644</v>
      </c>
      <c r="T3" s="155"/>
      <c r="U3" s="231"/>
      <c r="V3" s="229"/>
    </row>
    <row r="4" spans="1:25" x14ac:dyDescent="0.25">
      <c r="A4" s="155"/>
      <c r="B4" s="156"/>
      <c r="C4" s="155"/>
      <c r="D4" s="155"/>
      <c r="E4" s="155"/>
      <c r="F4" s="155" t="s">
        <v>290</v>
      </c>
      <c r="G4" s="172" t="s">
        <v>844</v>
      </c>
      <c r="H4" s="171"/>
      <c r="I4" s="155"/>
      <c r="J4" s="155"/>
      <c r="K4" s="157"/>
      <c r="L4" s="157"/>
      <c r="M4" s="157"/>
      <c r="N4" s="155"/>
      <c r="O4" s="217"/>
      <c r="P4" s="230"/>
      <c r="Q4" s="155"/>
      <c r="R4" s="155"/>
      <c r="S4" s="155"/>
      <c r="T4" s="155" t="s">
        <v>644</v>
      </c>
      <c r="U4" s="231"/>
      <c r="V4" s="229"/>
      <c r="X4" t="str">
        <f>E13</f>
        <v>IP.3</v>
      </c>
      <c r="Y4" s="1">
        <f>G13</f>
        <v>2.3171575039141135</v>
      </c>
    </row>
    <row r="5" spans="1:25" x14ac:dyDescent="0.25">
      <c r="A5" s="155"/>
      <c r="B5" s="156"/>
      <c r="C5" s="155"/>
      <c r="D5" s="155"/>
      <c r="E5" s="155"/>
      <c r="F5" s="155" t="s">
        <v>277</v>
      </c>
      <c r="G5" s="172" t="s">
        <v>502</v>
      </c>
      <c r="H5" s="171"/>
      <c r="I5" s="155"/>
      <c r="J5" s="155"/>
      <c r="K5" s="157"/>
      <c r="L5" s="157"/>
      <c r="M5" s="157"/>
      <c r="N5" s="155"/>
      <c r="O5" s="217"/>
      <c r="P5" s="230"/>
      <c r="Q5" s="155"/>
      <c r="R5" s="155"/>
      <c r="S5" s="155"/>
      <c r="T5" s="155" t="s">
        <v>644</v>
      </c>
      <c r="U5" s="231"/>
      <c r="V5" s="229"/>
      <c r="X5" t="str">
        <f>E8</f>
        <v>Ethanol (anhydrous)</v>
      </c>
      <c r="Y5" s="1">
        <f>G8</f>
        <v>20.755393710273427</v>
      </c>
    </row>
    <row r="6" spans="1:25" x14ac:dyDescent="0.25">
      <c r="A6" s="155"/>
      <c r="B6" s="156"/>
      <c r="C6" s="155"/>
      <c r="D6" s="155"/>
      <c r="E6" s="155"/>
      <c r="F6" s="155" t="s">
        <v>278</v>
      </c>
      <c r="G6" s="172" t="s">
        <v>599</v>
      </c>
      <c r="H6" s="171"/>
      <c r="I6" s="155"/>
      <c r="J6" s="155"/>
      <c r="K6" s="157"/>
      <c r="L6" s="157"/>
      <c r="M6" s="157"/>
      <c r="N6" s="155"/>
      <c r="O6" s="217"/>
      <c r="P6" s="230"/>
      <c r="Q6" s="155"/>
      <c r="R6" s="155"/>
      <c r="S6" s="155"/>
      <c r="T6" s="155" t="s">
        <v>644</v>
      </c>
      <c r="U6" s="231"/>
      <c r="V6" s="229"/>
      <c r="X6" t="str">
        <f>E3</f>
        <v>Argon</v>
      </c>
    </row>
    <row r="7" spans="1:25" x14ac:dyDescent="0.25">
      <c r="A7" s="155"/>
      <c r="B7" s="156"/>
      <c r="C7" s="155"/>
      <c r="D7" s="155"/>
      <c r="E7" s="155"/>
      <c r="F7" s="155" t="s">
        <v>279</v>
      </c>
      <c r="G7" s="172" t="s">
        <v>502</v>
      </c>
      <c r="H7" s="171"/>
      <c r="I7" s="155"/>
      <c r="J7" s="155"/>
      <c r="K7" s="157"/>
      <c r="L7" s="157"/>
      <c r="M7" s="157"/>
      <c r="N7" s="155"/>
      <c r="O7" s="217"/>
      <c r="P7" s="230"/>
      <c r="Q7" s="155"/>
      <c r="R7" s="155"/>
      <c r="S7" s="155"/>
      <c r="T7" s="155" t="s">
        <v>644</v>
      </c>
      <c r="U7" s="231"/>
      <c r="V7" s="229"/>
      <c r="X7" t="str">
        <f>E22</f>
        <v>Sodium borohydride</v>
      </c>
      <c r="Y7" s="1">
        <f>G22</f>
        <v>1.8073828530530085</v>
      </c>
    </row>
    <row r="8" spans="1:25" ht="30" x14ac:dyDescent="0.25">
      <c r="A8" s="155" t="s">
        <v>25</v>
      </c>
      <c r="B8" s="155" t="s">
        <v>400</v>
      </c>
      <c r="C8" s="155"/>
      <c r="D8" s="155" t="s">
        <v>871</v>
      </c>
      <c r="E8" s="155" t="s">
        <v>391</v>
      </c>
      <c r="F8" s="155" t="s">
        <v>274</v>
      </c>
      <c r="G8" s="172">
        <f>PGI!U44</f>
        <v>20.755393710273427</v>
      </c>
      <c r="H8" s="171"/>
      <c r="I8" s="155" t="s">
        <v>366</v>
      </c>
      <c r="J8" s="155"/>
      <c r="K8" s="155"/>
      <c r="L8" s="155">
        <v>2</v>
      </c>
      <c r="M8" s="155">
        <v>1</v>
      </c>
      <c r="N8" s="155"/>
      <c r="O8" s="217"/>
      <c r="P8" s="230"/>
      <c r="Q8" s="155"/>
      <c r="R8" s="155"/>
      <c r="S8" s="155" t="s">
        <v>644</v>
      </c>
      <c r="T8" s="155"/>
      <c r="U8" s="231"/>
      <c r="V8" s="229"/>
      <c r="X8" t="str">
        <f>E39</f>
        <v>Acetone</v>
      </c>
      <c r="Y8" s="1">
        <f>G39</f>
        <v>11.02966971863118</v>
      </c>
    </row>
    <row r="9" spans="1:25" x14ac:dyDescent="0.25">
      <c r="A9" s="155"/>
      <c r="B9" s="156"/>
      <c r="C9" s="155"/>
      <c r="D9" s="155"/>
      <c r="E9" s="155"/>
      <c r="F9" s="155" t="s">
        <v>290</v>
      </c>
      <c r="G9" s="172" t="s">
        <v>323</v>
      </c>
      <c r="H9" s="171"/>
      <c r="I9" s="155"/>
      <c r="J9" s="155"/>
      <c r="K9" s="157"/>
      <c r="L9" s="157"/>
      <c r="M9" s="157"/>
      <c r="N9" s="155"/>
      <c r="O9" s="217"/>
      <c r="P9" s="230"/>
      <c r="Q9" s="155"/>
      <c r="R9" s="155"/>
      <c r="S9" s="155"/>
      <c r="T9" s="155" t="s">
        <v>644</v>
      </c>
      <c r="U9" s="231"/>
      <c r="V9" s="229"/>
      <c r="X9" t="s">
        <v>883</v>
      </c>
      <c r="Y9" s="1">
        <f>G55+G60+G81</f>
        <v>54.800774967568785</v>
      </c>
    </row>
    <row r="10" spans="1:25" x14ac:dyDescent="0.25">
      <c r="A10" s="155"/>
      <c r="B10" s="156"/>
      <c r="C10" s="155"/>
      <c r="D10" s="155"/>
      <c r="E10" s="155"/>
      <c r="F10" s="155" t="s">
        <v>277</v>
      </c>
      <c r="G10" s="172" t="s">
        <v>326</v>
      </c>
      <c r="H10" s="171"/>
      <c r="I10" s="155"/>
      <c r="J10" s="155"/>
      <c r="K10" s="157"/>
      <c r="L10" s="157"/>
      <c r="M10" s="157"/>
      <c r="N10" s="155"/>
      <c r="O10" s="217"/>
      <c r="P10" s="230"/>
      <c r="Q10" s="155"/>
      <c r="R10" s="155"/>
      <c r="S10" s="155"/>
      <c r="T10" s="155" t="s">
        <v>644</v>
      </c>
      <c r="U10" s="231"/>
      <c r="V10" s="229"/>
      <c r="X10" t="s">
        <v>884</v>
      </c>
      <c r="Y10" s="1">
        <f>G81</f>
        <v>9.2686300156564538</v>
      </c>
    </row>
    <row r="11" spans="1:25" x14ac:dyDescent="0.25">
      <c r="A11" s="155"/>
      <c r="B11" s="156"/>
      <c r="C11" s="155"/>
      <c r="D11" s="155"/>
      <c r="E11" s="155"/>
      <c r="F11" s="155" t="s">
        <v>278</v>
      </c>
      <c r="G11" s="172" t="s">
        <v>402</v>
      </c>
      <c r="H11" s="171"/>
      <c r="I11" s="155"/>
      <c r="J11" s="155"/>
      <c r="K11" s="157"/>
      <c r="L11" s="157"/>
      <c r="M11" s="157"/>
      <c r="N11" s="155"/>
      <c r="O11" s="217"/>
      <c r="P11" s="230"/>
      <c r="Q11" s="155"/>
      <c r="R11" s="155"/>
      <c r="S11" s="155" t="s">
        <v>644</v>
      </c>
      <c r="T11" s="155"/>
      <c r="U11" s="231"/>
      <c r="V11" s="229"/>
      <c r="X11" t="str">
        <f>E65</f>
        <v xml:space="preserve">Ethyl acetate </v>
      </c>
      <c r="Y11" s="1">
        <f>G65</f>
        <v>10.562541328383423</v>
      </c>
    </row>
    <row r="12" spans="1:25" x14ac:dyDescent="0.25">
      <c r="A12" s="155"/>
      <c r="B12" s="156"/>
      <c r="C12" s="155"/>
      <c r="D12" s="155"/>
      <c r="E12" s="155"/>
      <c r="F12" s="155" t="s">
        <v>279</v>
      </c>
      <c r="G12" s="172" t="s">
        <v>403</v>
      </c>
      <c r="H12" s="171"/>
      <c r="I12" s="155"/>
      <c r="J12" s="155"/>
      <c r="K12" s="157"/>
      <c r="L12" s="157"/>
      <c r="M12" s="157"/>
      <c r="N12" s="155"/>
      <c r="O12" s="217"/>
      <c r="P12" s="230"/>
      <c r="Q12" s="155"/>
      <c r="R12" s="155"/>
      <c r="S12" s="155"/>
      <c r="T12" s="155" t="s">
        <v>644</v>
      </c>
      <c r="U12" s="231"/>
      <c r="V12" s="229"/>
      <c r="X12" t="str">
        <f>E99</f>
        <v>HCl in IPrOH</v>
      </c>
      <c r="Y12" s="1">
        <f>G99</f>
        <v>1.5988386777007382</v>
      </c>
    </row>
    <row r="13" spans="1:25" x14ac:dyDescent="0.25">
      <c r="A13" s="155" t="s">
        <v>25</v>
      </c>
      <c r="B13" s="155" t="s">
        <v>400</v>
      </c>
      <c r="C13" s="155"/>
      <c r="D13" s="155" t="s">
        <v>872</v>
      </c>
      <c r="E13" s="155" t="str">
        <f>PGI!D40</f>
        <v>IP.3</v>
      </c>
      <c r="F13" s="155" t="s">
        <v>274</v>
      </c>
      <c r="G13" s="268">
        <f>PGI!U40</f>
        <v>2.3171575039141135</v>
      </c>
      <c r="H13" s="171"/>
      <c r="I13" s="155" t="s">
        <v>366</v>
      </c>
      <c r="J13" s="155"/>
      <c r="K13" s="155"/>
      <c r="L13" s="155">
        <v>2</v>
      </c>
      <c r="M13" s="155">
        <v>1</v>
      </c>
      <c r="N13" s="155"/>
      <c r="O13" s="217"/>
      <c r="P13" s="230"/>
      <c r="Q13" s="155"/>
      <c r="R13" s="155"/>
      <c r="S13" s="155" t="s">
        <v>644</v>
      </c>
      <c r="T13" s="155"/>
      <c r="U13" s="231"/>
      <c r="V13" s="229"/>
      <c r="X13" t="str">
        <f>E114</f>
        <v>2-propanol</v>
      </c>
      <c r="Y13" s="1">
        <f>G114</f>
        <v>4.5</v>
      </c>
    </row>
    <row r="14" spans="1:25" x14ac:dyDescent="0.25">
      <c r="A14" s="155"/>
      <c r="B14" s="156"/>
      <c r="C14" s="155"/>
      <c r="D14" s="155"/>
      <c r="E14" s="155"/>
      <c r="F14" s="155" t="s">
        <v>290</v>
      </c>
      <c r="G14" s="172" t="s">
        <v>323</v>
      </c>
      <c r="H14" s="171"/>
      <c r="I14" s="155"/>
      <c r="J14" s="155"/>
      <c r="K14" s="157"/>
      <c r="L14" s="157"/>
      <c r="M14" s="157"/>
      <c r="N14" s="155"/>
      <c r="O14" s="217"/>
      <c r="P14" s="230"/>
      <c r="Q14" s="155"/>
      <c r="R14" s="155"/>
      <c r="S14" s="155"/>
      <c r="T14" s="155" t="s">
        <v>644</v>
      </c>
      <c r="U14" s="231"/>
      <c r="V14" s="229"/>
      <c r="X14" t="s">
        <v>885</v>
      </c>
      <c r="Y14" s="1">
        <f>G129</f>
        <v>1.1585787519570567</v>
      </c>
    </row>
    <row r="15" spans="1:25" x14ac:dyDescent="0.25">
      <c r="A15" s="155"/>
      <c r="B15" s="156"/>
      <c r="C15" s="155"/>
      <c r="D15" s="155"/>
      <c r="E15" s="155"/>
      <c r="F15" s="155" t="s">
        <v>277</v>
      </c>
      <c r="G15" s="172" t="s">
        <v>326</v>
      </c>
      <c r="H15" s="171"/>
      <c r="I15" s="155"/>
      <c r="J15" s="155"/>
      <c r="K15" s="157"/>
      <c r="L15" s="157"/>
      <c r="M15" s="157"/>
      <c r="N15" s="155"/>
      <c r="O15" s="217"/>
      <c r="P15" s="230"/>
      <c r="Q15" s="155"/>
      <c r="R15" s="155"/>
      <c r="S15" s="155"/>
      <c r="T15" s="155" t="s">
        <v>644</v>
      </c>
      <c r="U15" s="231"/>
      <c r="V15" s="229"/>
    </row>
    <row r="16" spans="1:25" x14ac:dyDescent="0.25">
      <c r="A16" s="155"/>
      <c r="B16" s="156"/>
      <c r="C16" s="155"/>
      <c r="D16" s="155"/>
      <c r="E16" s="155"/>
      <c r="F16" s="155" t="s">
        <v>278</v>
      </c>
      <c r="G16" s="172" t="s">
        <v>402</v>
      </c>
      <c r="H16" s="171"/>
      <c r="I16" s="155"/>
      <c r="J16" s="155"/>
      <c r="K16" s="157"/>
      <c r="L16" s="157"/>
      <c r="M16" s="157"/>
      <c r="N16" s="155"/>
      <c r="O16" s="217"/>
      <c r="P16" s="230"/>
      <c r="Q16" s="155"/>
      <c r="R16" s="155"/>
      <c r="S16" s="155" t="s">
        <v>644</v>
      </c>
      <c r="T16" s="155"/>
      <c r="U16" s="231"/>
      <c r="V16" s="229"/>
    </row>
    <row r="17" spans="1:22" x14ac:dyDescent="0.25">
      <c r="A17" s="155"/>
      <c r="B17" s="156"/>
      <c r="C17" s="155"/>
      <c r="D17" s="155"/>
      <c r="E17" s="155"/>
      <c r="F17" s="155" t="s">
        <v>279</v>
      </c>
      <c r="G17" s="172" t="s">
        <v>403</v>
      </c>
      <c r="H17" s="171"/>
      <c r="I17" s="155"/>
      <c r="J17" s="155"/>
      <c r="K17" s="157"/>
      <c r="L17" s="157"/>
      <c r="M17" s="157"/>
      <c r="N17" s="155"/>
      <c r="O17" s="217"/>
      <c r="P17" s="230"/>
      <c r="Q17" s="155"/>
      <c r="R17" s="155"/>
      <c r="S17" s="155"/>
      <c r="T17" s="155" t="s">
        <v>644</v>
      </c>
      <c r="U17" s="231"/>
      <c r="V17" s="229"/>
    </row>
    <row r="18" spans="1:22" ht="30" x14ac:dyDescent="0.25">
      <c r="A18" s="155" t="s">
        <v>25</v>
      </c>
      <c r="B18" s="155" t="s">
        <v>404</v>
      </c>
      <c r="C18" s="155"/>
      <c r="D18" s="155" t="s">
        <v>846</v>
      </c>
      <c r="E18" s="155"/>
      <c r="F18" s="155" t="s">
        <v>275</v>
      </c>
      <c r="G18" s="172" t="s">
        <v>600</v>
      </c>
      <c r="H18" s="171"/>
      <c r="I18" s="155" t="s">
        <v>366</v>
      </c>
      <c r="J18" s="155"/>
      <c r="K18" s="155"/>
      <c r="L18" s="155">
        <v>2</v>
      </c>
      <c r="M18" s="155">
        <v>1</v>
      </c>
      <c r="N18" s="155"/>
      <c r="O18" s="217"/>
      <c r="P18" s="230"/>
      <c r="Q18" s="155"/>
      <c r="R18" s="155"/>
      <c r="S18" s="155" t="s">
        <v>644</v>
      </c>
      <c r="T18" s="155"/>
      <c r="U18" s="231"/>
      <c r="V18" s="229"/>
    </row>
    <row r="19" spans="1:22" x14ac:dyDescent="0.25">
      <c r="A19" s="155"/>
      <c r="B19" s="155"/>
      <c r="C19" s="155"/>
      <c r="D19" s="155"/>
      <c r="E19" s="155"/>
      <c r="F19" s="155" t="s">
        <v>406</v>
      </c>
      <c r="G19" s="172" t="s">
        <v>419</v>
      </c>
      <c r="H19" s="171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 t="s">
        <v>644</v>
      </c>
      <c r="T19" s="155"/>
      <c r="U19" s="231"/>
      <c r="V19" s="229"/>
    </row>
    <row r="20" spans="1:22" ht="75" x14ac:dyDescent="0.25">
      <c r="A20" s="155"/>
      <c r="B20" s="155"/>
      <c r="C20" s="155"/>
      <c r="D20" s="155"/>
      <c r="E20" s="155"/>
      <c r="F20" s="155" t="s">
        <v>407</v>
      </c>
      <c r="G20" s="263" t="s">
        <v>823</v>
      </c>
      <c r="H20" s="171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 t="s">
        <v>644</v>
      </c>
      <c r="U20" s="231"/>
      <c r="V20" s="229"/>
    </row>
    <row r="21" spans="1:22" x14ac:dyDescent="0.25">
      <c r="A21" s="155"/>
      <c r="B21" s="156"/>
      <c r="C21" s="155"/>
      <c r="D21" s="155"/>
      <c r="E21" s="155"/>
      <c r="F21" s="155" t="s">
        <v>278</v>
      </c>
      <c r="G21" s="172" t="s">
        <v>402</v>
      </c>
      <c r="H21" s="171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 t="s">
        <v>644</v>
      </c>
      <c r="T21" s="155"/>
      <c r="U21" s="231"/>
      <c r="V21" s="229"/>
    </row>
    <row r="22" spans="1:22" ht="30" x14ac:dyDescent="0.25">
      <c r="A22" s="155" t="s">
        <v>25</v>
      </c>
      <c r="B22" s="155" t="s">
        <v>400</v>
      </c>
      <c r="C22" s="155"/>
      <c r="D22" s="155" t="s">
        <v>873</v>
      </c>
      <c r="E22" s="155" t="str">
        <f>PGI!D42</f>
        <v>Sodium borohydride</v>
      </c>
      <c r="F22" s="155" t="s">
        <v>274</v>
      </c>
      <c r="G22" s="172">
        <f>PGI!U42</f>
        <v>1.8073828530530085</v>
      </c>
      <c r="H22" s="171"/>
      <c r="I22" s="155" t="s">
        <v>366</v>
      </c>
      <c r="J22" s="155"/>
      <c r="K22" s="155"/>
      <c r="L22" s="155">
        <v>2</v>
      </c>
      <c r="M22" s="155">
        <v>1</v>
      </c>
      <c r="N22" s="155"/>
      <c r="O22" s="217"/>
      <c r="P22" s="230"/>
      <c r="Q22" s="155"/>
      <c r="R22" s="155"/>
      <c r="S22" s="155" t="s">
        <v>644</v>
      </c>
      <c r="T22" s="155"/>
      <c r="U22" s="231"/>
      <c r="V22" s="229" t="s">
        <v>848</v>
      </c>
    </row>
    <row r="23" spans="1:22" x14ac:dyDescent="0.25">
      <c r="A23" s="155"/>
      <c r="B23" s="155"/>
      <c r="C23" s="155"/>
      <c r="D23" s="155"/>
      <c r="E23" s="155"/>
      <c r="F23" s="158" t="s">
        <v>275</v>
      </c>
      <c r="G23" s="172" t="s">
        <v>409</v>
      </c>
      <c r="H23" s="171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 t="s">
        <v>644</v>
      </c>
      <c r="T23" s="155"/>
      <c r="U23" s="231"/>
      <c r="V23" s="229" t="s">
        <v>601</v>
      </c>
    </row>
    <row r="24" spans="1:22" ht="60" x14ac:dyDescent="0.25">
      <c r="A24" s="155"/>
      <c r="B24" s="155"/>
      <c r="C24" s="155"/>
      <c r="D24" s="155"/>
      <c r="E24" s="155"/>
      <c r="F24" s="158" t="s">
        <v>277</v>
      </c>
      <c r="G24" s="172" t="s">
        <v>421</v>
      </c>
      <c r="H24" s="171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 t="s">
        <v>644</v>
      </c>
      <c r="T24" s="155"/>
      <c r="U24" s="231"/>
      <c r="V24" s="233" t="s">
        <v>847</v>
      </c>
    </row>
    <row r="25" spans="1:22" x14ac:dyDescent="0.25">
      <c r="A25" s="155"/>
      <c r="B25" s="155"/>
      <c r="C25" s="155"/>
      <c r="D25" s="155"/>
      <c r="E25" s="155"/>
      <c r="F25" s="158" t="s">
        <v>278</v>
      </c>
      <c r="G25" s="172" t="s">
        <v>402</v>
      </c>
      <c r="H25" s="171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 t="s">
        <v>644</v>
      </c>
      <c r="T25" s="155"/>
      <c r="U25" s="231"/>
      <c r="V25" s="229"/>
    </row>
    <row r="26" spans="1:22" ht="45" x14ac:dyDescent="0.25">
      <c r="A26" s="155"/>
      <c r="B26" s="155"/>
      <c r="C26" s="155"/>
      <c r="D26" s="155"/>
      <c r="E26" s="155"/>
      <c r="F26" s="158" t="s">
        <v>279</v>
      </c>
      <c r="G26" s="172" t="s">
        <v>420</v>
      </c>
      <c r="H26" s="171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 t="s">
        <v>644</v>
      </c>
      <c r="U26" s="231"/>
      <c r="V26" s="229"/>
    </row>
    <row r="27" spans="1:22" ht="30" x14ac:dyDescent="0.25">
      <c r="A27" s="155" t="s">
        <v>25</v>
      </c>
      <c r="B27" s="155" t="s">
        <v>404</v>
      </c>
      <c r="C27" s="155"/>
      <c r="D27" s="158" t="s">
        <v>418</v>
      </c>
      <c r="E27" s="155"/>
      <c r="F27" s="155" t="s">
        <v>290</v>
      </c>
      <c r="G27" s="172" t="s">
        <v>602</v>
      </c>
      <c r="H27" s="171"/>
      <c r="I27" s="155" t="s">
        <v>366</v>
      </c>
      <c r="J27" s="155"/>
      <c r="K27" s="155"/>
      <c r="L27" s="155">
        <v>1</v>
      </c>
      <c r="M27" s="155">
        <v>1</v>
      </c>
      <c r="N27" s="155"/>
      <c r="O27" s="217"/>
      <c r="P27" s="230"/>
      <c r="Q27" s="155"/>
      <c r="R27" s="155"/>
      <c r="S27" s="155" t="s">
        <v>644</v>
      </c>
      <c r="T27" s="155"/>
      <c r="U27" s="231"/>
      <c r="V27" s="229"/>
    </row>
    <row r="28" spans="1:22" x14ac:dyDescent="0.25">
      <c r="A28" s="155"/>
      <c r="B28" s="155"/>
      <c r="C28" s="155"/>
      <c r="D28" s="155"/>
      <c r="E28" s="155"/>
      <c r="F28" s="158" t="s">
        <v>406</v>
      </c>
      <c r="G28" s="172" t="s">
        <v>326</v>
      </c>
      <c r="H28" s="171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 t="s">
        <v>644</v>
      </c>
      <c r="T28" s="155"/>
      <c r="U28" s="231"/>
      <c r="V28" s="229"/>
    </row>
    <row r="29" spans="1:22" ht="75" x14ac:dyDescent="0.25">
      <c r="A29" s="155"/>
      <c r="B29" s="155"/>
      <c r="C29" s="155"/>
      <c r="D29" s="155"/>
      <c r="E29" s="155"/>
      <c r="F29" s="155" t="s">
        <v>425</v>
      </c>
      <c r="G29" s="172" t="s">
        <v>823</v>
      </c>
      <c r="H29" s="171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 t="s">
        <v>644</v>
      </c>
      <c r="U29" s="231"/>
      <c r="V29" s="229"/>
    </row>
    <row r="30" spans="1:22" x14ac:dyDescent="0.25">
      <c r="A30" s="155"/>
      <c r="B30" s="155"/>
      <c r="C30" s="155"/>
      <c r="D30" s="155"/>
      <c r="E30" s="155"/>
      <c r="F30" s="155" t="s">
        <v>278</v>
      </c>
      <c r="G30" s="172" t="s">
        <v>402</v>
      </c>
      <c r="H30" s="171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 t="s">
        <v>644</v>
      </c>
      <c r="T30" s="155"/>
      <c r="U30" s="231"/>
      <c r="V30" s="229"/>
    </row>
    <row r="31" spans="1:22" x14ac:dyDescent="0.25">
      <c r="A31" s="155" t="s">
        <v>25</v>
      </c>
      <c r="B31" s="155" t="s">
        <v>412</v>
      </c>
      <c r="C31" s="155"/>
      <c r="D31" s="155" t="s">
        <v>394</v>
      </c>
      <c r="E31" s="155"/>
      <c r="F31" s="155" t="s">
        <v>290</v>
      </c>
      <c r="G31" s="172" t="s">
        <v>849</v>
      </c>
      <c r="H31" s="171">
        <f>15/1.17*G13</f>
        <v>29.70714748607838</v>
      </c>
      <c r="I31" s="155" t="s">
        <v>366</v>
      </c>
      <c r="J31" s="155"/>
      <c r="K31" s="155"/>
      <c r="L31" s="155">
        <v>1</v>
      </c>
      <c r="M31" s="155">
        <v>1</v>
      </c>
      <c r="N31" s="155"/>
      <c r="O31" s="217"/>
      <c r="P31" s="230"/>
      <c r="Q31" s="155"/>
      <c r="R31" s="155"/>
      <c r="S31" s="155" t="s">
        <v>644</v>
      </c>
      <c r="T31" s="155"/>
      <c r="U31" s="231"/>
      <c r="V31" s="229"/>
    </row>
    <row r="32" spans="1:22" x14ac:dyDescent="0.25">
      <c r="A32" s="155"/>
      <c r="B32" s="155"/>
      <c r="C32" s="155"/>
      <c r="D32" s="155"/>
      <c r="E32" s="155"/>
      <c r="F32" s="155" t="s">
        <v>291</v>
      </c>
      <c r="G32" s="172" t="s">
        <v>326</v>
      </c>
      <c r="H32" s="171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 t="s">
        <v>644</v>
      </c>
      <c r="T32" s="155"/>
      <c r="U32" s="231"/>
      <c r="V32" s="229"/>
    </row>
    <row r="33" spans="1:22" x14ac:dyDescent="0.25">
      <c r="A33" s="155"/>
      <c r="B33" s="155"/>
      <c r="C33" s="155"/>
      <c r="D33" s="155"/>
      <c r="E33" s="155"/>
      <c r="F33" s="155" t="s">
        <v>278</v>
      </c>
      <c r="G33" s="172" t="s">
        <v>402</v>
      </c>
      <c r="H33" s="171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 t="s">
        <v>644</v>
      </c>
      <c r="T33" s="155"/>
      <c r="U33" s="231"/>
      <c r="V33" s="229"/>
    </row>
    <row r="34" spans="1:22" x14ac:dyDescent="0.25">
      <c r="A34" s="155"/>
      <c r="B34" s="155"/>
      <c r="C34" s="155"/>
      <c r="D34" s="155"/>
      <c r="E34" s="155"/>
      <c r="F34" s="155" t="s">
        <v>284</v>
      </c>
      <c r="G34" s="172" t="s">
        <v>603</v>
      </c>
      <c r="H34" s="171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 t="s">
        <v>644</v>
      </c>
      <c r="T34" s="155"/>
      <c r="U34" s="231"/>
      <c r="V34" s="229"/>
    </row>
    <row r="35" spans="1:22" ht="30" x14ac:dyDescent="0.25">
      <c r="A35" s="155"/>
      <c r="B35" s="155"/>
      <c r="C35" s="155"/>
      <c r="D35" s="155"/>
      <c r="E35" s="155"/>
      <c r="F35" s="155" t="s">
        <v>426</v>
      </c>
      <c r="G35" s="172" t="s">
        <v>437</v>
      </c>
      <c r="H35" s="171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 t="s">
        <v>644</v>
      </c>
      <c r="U35" s="231"/>
      <c r="V35" s="229" t="s">
        <v>604</v>
      </c>
    </row>
    <row r="36" spans="1:22" ht="30" x14ac:dyDescent="0.25">
      <c r="A36" s="155" t="s">
        <v>25</v>
      </c>
      <c r="B36" s="189" t="s">
        <v>315</v>
      </c>
      <c r="C36" s="155"/>
      <c r="D36" s="189" t="s">
        <v>850</v>
      </c>
      <c r="E36" s="155"/>
      <c r="F36" s="155" t="s">
        <v>312</v>
      </c>
      <c r="G36" s="172" t="s">
        <v>413</v>
      </c>
      <c r="H36" s="171"/>
      <c r="I36" s="155"/>
      <c r="J36" s="155"/>
      <c r="K36" s="155"/>
      <c r="L36" s="155">
        <v>1</v>
      </c>
      <c r="M36" s="155">
        <v>1</v>
      </c>
      <c r="N36" s="155"/>
      <c r="O36" s="217"/>
      <c r="P36" s="230"/>
      <c r="Q36" s="155"/>
      <c r="R36" s="155"/>
      <c r="S36" s="155"/>
      <c r="T36" s="155" t="s">
        <v>644</v>
      </c>
      <c r="U36" s="231"/>
      <c r="V36" s="229" t="s">
        <v>414</v>
      </c>
    </row>
    <row r="37" spans="1:22" x14ac:dyDescent="0.25">
      <c r="A37" s="155"/>
      <c r="B37" s="155"/>
      <c r="C37" s="155"/>
      <c r="D37" s="155"/>
      <c r="E37" s="155"/>
      <c r="F37" s="155" t="s">
        <v>313</v>
      </c>
      <c r="G37" s="172" t="s">
        <v>851</v>
      </c>
      <c r="H37" s="171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 t="s">
        <v>644</v>
      </c>
      <c r="T37" s="155"/>
      <c r="U37" s="231"/>
      <c r="V37" s="229"/>
    </row>
    <row r="38" spans="1:22" ht="30" x14ac:dyDescent="0.25">
      <c r="A38" s="155"/>
      <c r="B38" s="155"/>
      <c r="C38" s="155"/>
      <c r="D38" s="155"/>
      <c r="E38" s="155"/>
      <c r="F38" s="155" t="s">
        <v>314</v>
      </c>
      <c r="G38" s="172" t="s">
        <v>440</v>
      </c>
      <c r="H38" s="171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 t="s">
        <v>644</v>
      </c>
      <c r="U38" s="231"/>
      <c r="V38" s="229" t="s">
        <v>852</v>
      </c>
    </row>
    <row r="39" spans="1:22" ht="30" x14ac:dyDescent="0.25">
      <c r="A39" s="155" t="s">
        <v>25</v>
      </c>
      <c r="B39" s="155" t="s">
        <v>400</v>
      </c>
      <c r="C39" s="155"/>
      <c r="D39" s="155" t="s">
        <v>606</v>
      </c>
      <c r="E39" s="155" t="str">
        <f>PGI!D49</f>
        <v>Acetone</v>
      </c>
      <c r="F39" s="155" t="s">
        <v>274</v>
      </c>
      <c r="G39" s="172">
        <f>PGI!U49</f>
        <v>11.02966971863118</v>
      </c>
      <c r="H39" s="171">
        <f>21/1.17*G13</f>
        <v>41.590006480509729</v>
      </c>
      <c r="I39" s="155" t="s">
        <v>366</v>
      </c>
      <c r="J39" s="155"/>
      <c r="K39" s="155"/>
      <c r="L39" s="155">
        <v>2</v>
      </c>
      <c r="M39" s="155">
        <v>1</v>
      </c>
      <c r="N39" s="155"/>
      <c r="O39" s="217"/>
      <c r="P39" s="230"/>
      <c r="Q39" s="155"/>
      <c r="R39" s="155"/>
      <c r="S39" s="155" t="s">
        <v>644</v>
      </c>
      <c r="T39" s="155"/>
      <c r="U39" s="231"/>
      <c r="V39" s="229" t="s">
        <v>415</v>
      </c>
    </row>
    <row r="40" spans="1:22" x14ac:dyDescent="0.25">
      <c r="A40" s="155"/>
      <c r="B40" s="155"/>
      <c r="C40" s="155"/>
      <c r="D40" s="155"/>
      <c r="E40" s="155"/>
      <c r="F40" s="155" t="s">
        <v>290</v>
      </c>
      <c r="G40" s="172" t="s">
        <v>607</v>
      </c>
      <c r="H40" s="171"/>
      <c r="I40" s="155"/>
      <c r="J40" s="155"/>
      <c r="K40" s="155"/>
      <c r="L40" s="155"/>
      <c r="M40" s="155"/>
      <c r="N40" s="155"/>
      <c r="O40" s="217"/>
      <c r="P40" s="230"/>
      <c r="Q40" s="155"/>
      <c r="R40" s="155"/>
      <c r="S40" s="155" t="s">
        <v>644</v>
      </c>
      <c r="T40" s="155"/>
      <c r="U40" s="231"/>
      <c r="V40" s="229"/>
    </row>
    <row r="41" spans="1:22" x14ac:dyDescent="0.25">
      <c r="A41" s="155"/>
      <c r="B41" s="155"/>
      <c r="C41" s="155"/>
      <c r="D41" s="155"/>
      <c r="E41" s="155"/>
      <c r="F41" s="155" t="s">
        <v>277</v>
      </c>
      <c r="G41" s="172" t="s">
        <v>422</v>
      </c>
      <c r="H41" s="171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 t="s">
        <v>644</v>
      </c>
      <c r="T41" s="155"/>
      <c r="U41" s="231"/>
      <c r="V41" s="229" t="s">
        <v>423</v>
      </c>
    </row>
    <row r="42" spans="1:22" x14ac:dyDescent="0.25">
      <c r="A42" s="155"/>
      <c r="B42" s="155"/>
      <c r="C42" s="155"/>
      <c r="D42" s="155"/>
      <c r="E42" s="155"/>
      <c r="F42" s="155" t="s">
        <v>278</v>
      </c>
      <c r="G42" s="172" t="s">
        <v>402</v>
      </c>
      <c r="H42" s="171"/>
      <c r="I42" s="155"/>
      <c r="J42" s="155"/>
      <c r="K42" s="155"/>
      <c r="L42" s="155"/>
      <c r="M42" s="155"/>
      <c r="N42" s="155"/>
      <c r="O42" s="217"/>
      <c r="P42" s="230"/>
      <c r="Q42" s="155"/>
      <c r="R42" s="155"/>
      <c r="S42" s="155" t="s">
        <v>644</v>
      </c>
      <c r="T42" s="155"/>
      <c r="U42" s="231"/>
      <c r="V42" s="229" t="s">
        <v>605</v>
      </c>
    </row>
    <row r="43" spans="1:22" x14ac:dyDescent="0.25">
      <c r="A43" s="155"/>
      <c r="B43" s="155"/>
      <c r="C43" s="155"/>
      <c r="D43" s="155"/>
      <c r="E43" s="155"/>
      <c r="F43" s="155" t="s">
        <v>279</v>
      </c>
      <c r="G43" s="172" t="s">
        <v>776</v>
      </c>
      <c r="H43" s="171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 t="s">
        <v>644</v>
      </c>
      <c r="U43" s="231"/>
      <c r="V43" s="229"/>
    </row>
    <row r="44" spans="1:22" ht="45" x14ac:dyDescent="0.25">
      <c r="A44" s="158" t="s">
        <v>25</v>
      </c>
      <c r="B44" s="158" t="s">
        <v>309</v>
      </c>
      <c r="C44" s="158"/>
      <c r="D44" s="158" t="s">
        <v>853</v>
      </c>
      <c r="E44" s="158" t="s">
        <v>598</v>
      </c>
      <c r="F44" s="158" t="s">
        <v>274</v>
      </c>
      <c r="G44" s="263" t="s">
        <v>610</v>
      </c>
      <c r="H44" s="171"/>
      <c r="I44" s="155"/>
      <c r="J44" s="155"/>
      <c r="K44" s="155"/>
      <c r="L44" s="155">
        <v>1</v>
      </c>
      <c r="M44" s="161" t="s">
        <v>530</v>
      </c>
      <c r="N44" s="155"/>
      <c r="O44" s="217"/>
      <c r="P44" s="230"/>
      <c r="Q44" s="155"/>
      <c r="R44" s="155"/>
      <c r="S44" s="155" t="s">
        <v>644</v>
      </c>
      <c r="T44" s="155"/>
      <c r="U44" s="231"/>
      <c r="V44" s="229"/>
    </row>
    <row r="45" spans="1:22" x14ac:dyDescent="0.25">
      <c r="A45" s="158"/>
      <c r="B45" s="158"/>
      <c r="C45" s="158"/>
      <c r="D45" s="158"/>
      <c r="E45" s="158"/>
      <c r="F45" s="158" t="s">
        <v>290</v>
      </c>
      <c r="G45" s="263" t="s">
        <v>608</v>
      </c>
      <c r="H45" s="171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 t="s">
        <v>644</v>
      </c>
      <c r="U45" s="231"/>
      <c r="V45" s="229"/>
    </row>
    <row r="46" spans="1:22" x14ac:dyDescent="0.25">
      <c r="A46" s="158"/>
      <c r="B46" s="158"/>
      <c r="C46" s="158"/>
      <c r="D46" s="158"/>
      <c r="E46" s="158"/>
      <c r="F46" s="158" t="s">
        <v>291</v>
      </c>
      <c r="G46" s="263" t="s">
        <v>608</v>
      </c>
      <c r="H46" s="171"/>
      <c r="I46" s="155"/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 t="s">
        <v>644</v>
      </c>
      <c r="U46" s="231"/>
      <c r="V46" s="229"/>
    </row>
    <row r="47" spans="1:22" x14ac:dyDescent="0.25">
      <c r="A47" s="158"/>
      <c r="B47" s="158"/>
      <c r="C47" s="158"/>
      <c r="D47" s="158"/>
      <c r="E47" s="158"/>
      <c r="F47" s="158" t="s">
        <v>278</v>
      </c>
      <c r="G47" s="263" t="s">
        <v>609</v>
      </c>
      <c r="H47" s="171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 t="s">
        <v>644</v>
      </c>
      <c r="T47" s="155"/>
      <c r="U47" s="231"/>
      <c r="V47" s="229"/>
    </row>
    <row r="48" spans="1:22" x14ac:dyDescent="0.25">
      <c r="A48" s="158"/>
      <c r="B48" s="158"/>
      <c r="C48" s="158"/>
      <c r="D48" s="158"/>
      <c r="E48" s="158"/>
      <c r="F48" s="158" t="s">
        <v>284</v>
      </c>
      <c r="G48" s="263"/>
      <c r="H48" s="171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29"/>
    </row>
    <row r="49" spans="1:22" x14ac:dyDescent="0.25">
      <c r="A49" s="155"/>
      <c r="B49" s="155"/>
      <c r="C49" s="155"/>
      <c r="D49" s="155"/>
      <c r="E49" s="155"/>
      <c r="F49" s="155" t="s">
        <v>310</v>
      </c>
      <c r="G49" s="172" t="s">
        <v>511</v>
      </c>
      <c r="H49" s="171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 t="s">
        <v>644</v>
      </c>
      <c r="U49" s="231"/>
      <c r="V49" s="229"/>
    </row>
    <row r="50" spans="1:22" ht="30" x14ac:dyDescent="0.25">
      <c r="A50" s="155" t="s">
        <v>25</v>
      </c>
      <c r="B50" s="155" t="s">
        <v>427</v>
      </c>
      <c r="C50" s="155"/>
      <c r="D50" s="155" t="s">
        <v>395</v>
      </c>
      <c r="E50" s="155"/>
      <c r="F50" s="155" t="s">
        <v>290</v>
      </c>
      <c r="G50" s="172" t="s">
        <v>428</v>
      </c>
      <c r="H50" s="171">
        <f>21/1.17*G13</f>
        <v>41.590006480509729</v>
      </c>
      <c r="I50" s="155" t="s">
        <v>396</v>
      </c>
      <c r="J50" s="155"/>
      <c r="K50" s="155"/>
      <c r="L50" s="155">
        <v>1</v>
      </c>
      <c r="M50" s="155">
        <v>2</v>
      </c>
      <c r="N50" s="155"/>
      <c r="O50" s="217"/>
      <c r="P50" s="230"/>
      <c r="Q50" s="155"/>
      <c r="R50" s="155"/>
      <c r="S50" s="155" t="s">
        <v>644</v>
      </c>
      <c r="T50" s="155"/>
      <c r="U50" s="231"/>
      <c r="V50" s="229" t="s">
        <v>429</v>
      </c>
    </row>
    <row r="51" spans="1:22" ht="60" x14ac:dyDescent="0.25">
      <c r="A51" s="155"/>
      <c r="B51" s="155"/>
      <c r="C51" s="155"/>
      <c r="D51" s="155"/>
      <c r="E51" s="155"/>
      <c r="F51" s="155" t="s">
        <v>291</v>
      </c>
      <c r="G51" s="172" t="s">
        <v>424</v>
      </c>
      <c r="H51" s="171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 t="s">
        <v>644</v>
      </c>
      <c r="U51" s="231"/>
      <c r="V51" s="229" t="s">
        <v>611</v>
      </c>
    </row>
    <row r="52" spans="1:22" ht="30" x14ac:dyDescent="0.25">
      <c r="A52" s="155"/>
      <c r="B52" s="155"/>
      <c r="C52" s="155"/>
      <c r="D52" s="155"/>
      <c r="E52" s="155"/>
      <c r="F52" s="155" t="s">
        <v>300</v>
      </c>
      <c r="G52" s="172" t="s">
        <v>538</v>
      </c>
      <c r="H52" s="171"/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 t="s">
        <v>644</v>
      </c>
      <c r="T52" s="155"/>
      <c r="U52" s="231"/>
      <c r="V52" s="257" t="s">
        <v>825</v>
      </c>
    </row>
    <row r="53" spans="1:22" x14ac:dyDescent="0.25">
      <c r="A53" s="155"/>
      <c r="B53" s="155"/>
      <c r="C53" s="155"/>
      <c r="D53" s="155"/>
      <c r="E53" s="155"/>
      <c r="F53" s="155" t="s">
        <v>278</v>
      </c>
      <c r="G53" s="172" t="s">
        <v>612</v>
      </c>
      <c r="H53" s="171"/>
      <c r="I53" s="155"/>
      <c r="J53" s="155"/>
      <c r="K53" s="155"/>
      <c r="L53" s="155"/>
      <c r="M53" s="155"/>
      <c r="N53" s="155"/>
      <c r="O53" s="217"/>
      <c r="P53" s="230"/>
      <c r="Q53" s="155"/>
      <c r="R53" s="155"/>
      <c r="S53" s="155" t="s">
        <v>644</v>
      </c>
      <c r="T53" s="155"/>
      <c r="U53" s="231"/>
      <c r="V53" s="229"/>
    </row>
    <row r="54" spans="1:22" ht="75" x14ac:dyDescent="0.25">
      <c r="A54" s="155"/>
      <c r="B54" s="155"/>
      <c r="C54" s="155"/>
      <c r="D54" s="155"/>
      <c r="E54" s="155"/>
      <c r="F54" s="155" t="s">
        <v>295</v>
      </c>
      <c r="G54" s="172" t="s">
        <v>854</v>
      </c>
      <c r="H54" s="171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 t="s">
        <v>644</v>
      </c>
      <c r="U54" s="231"/>
      <c r="V54" s="229"/>
    </row>
    <row r="55" spans="1:22" ht="45" x14ac:dyDescent="0.25">
      <c r="A55" s="155" t="s">
        <v>25</v>
      </c>
      <c r="B55" s="155" t="s">
        <v>400</v>
      </c>
      <c r="C55" s="155"/>
      <c r="D55" s="155" t="s">
        <v>615</v>
      </c>
      <c r="E55" s="155" t="str">
        <f>PGI!D45</f>
        <v>Water</v>
      </c>
      <c r="F55" s="155" t="s">
        <v>274</v>
      </c>
      <c r="G55" s="172">
        <f>PGI!U45</f>
        <v>5.9319232100201305</v>
      </c>
      <c r="H55" s="171"/>
      <c r="I55" s="155" t="s">
        <v>509</v>
      </c>
      <c r="J55" s="155"/>
      <c r="K55" s="155"/>
      <c r="L55" s="155">
        <v>2</v>
      </c>
      <c r="M55" s="155">
        <v>2</v>
      </c>
      <c r="N55" s="155"/>
      <c r="O55" s="217"/>
      <c r="P55" s="230"/>
      <c r="Q55" s="155"/>
      <c r="R55" s="155"/>
      <c r="S55" s="155" t="s">
        <v>644</v>
      </c>
      <c r="T55" s="155"/>
      <c r="U55" s="231"/>
      <c r="V55" s="229" t="s">
        <v>855</v>
      </c>
    </row>
    <row r="56" spans="1:22" x14ac:dyDescent="0.25">
      <c r="A56" s="155"/>
      <c r="B56" s="155"/>
      <c r="C56" s="155"/>
      <c r="D56" s="155"/>
      <c r="E56" s="155"/>
      <c r="F56" s="155" t="s">
        <v>290</v>
      </c>
      <c r="G56" s="172" t="s">
        <v>424</v>
      </c>
      <c r="H56" s="171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 t="s">
        <v>644</v>
      </c>
      <c r="T56" s="155"/>
      <c r="U56" s="231"/>
      <c r="V56" s="229"/>
    </row>
    <row r="57" spans="1:22" x14ac:dyDescent="0.25">
      <c r="A57" s="155"/>
      <c r="B57" s="155"/>
      <c r="C57" s="155"/>
      <c r="D57" s="155"/>
      <c r="E57" s="155"/>
      <c r="F57" s="155" t="s">
        <v>277</v>
      </c>
      <c r="G57" s="172" t="s">
        <v>502</v>
      </c>
      <c r="H57" s="171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 t="s">
        <v>644</v>
      </c>
      <c r="U57" s="231"/>
      <c r="V57" s="229"/>
    </row>
    <row r="58" spans="1:22" x14ac:dyDescent="0.25">
      <c r="A58" s="155"/>
      <c r="B58" s="155"/>
      <c r="C58" s="155"/>
      <c r="D58" s="155"/>
      <c r="E58" s="155"/>
      <c r="F58" s="155" t="s">
        <v>278</v>
      </c>
      <c r="G58" s="172" t="s">
        <v>408</v>
      </c>
      <c r="H58" s="171"/>
      <c r="I58" s="155"/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 t="s">
        <v>644</v>
      </c>
      <c r="U58" s="231"/>
      <c r="V58" s="229"/>
    </row>
    <row r="59" spans="1:22" x14ac:dyDescent="0.25">
      <c r="A59" s="155"/>
      <c r="B59" s="155"/>
      <c r="C59" s="155"/>
      <c r="D59" s="155"/>
      <c r="E59" s="155"/>
      <c r="F59" s="155" t="s">
        <v>279</v>
      </c>
      <c r="G59" s="172" t="s">
        <v>403</v>
      </c>
      <c r="H59" s="171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 t="s">
        <v>644</v>
      </c>
      <c r="U59" s="231"/>
      <c r="V59" s="229"/>
    </row>
    <row r="60" spans="1:22" ht="45" x14ac:dyDescent="0.25">
      <c r="A60" s="155" t="s">
        <v>25</v>
      </c>
      <c r="B60" s="155" t="s">
        <v>400</v>
      </c>
      <c r="C60" s="155"/>
      <c r="D60" s="155" t="s">
        <v>614</v>
      </c>
      <c r="E60" s="155" t="str">
        <f>PGI!D46</f>
        <v>Water</v>
      </c>
      <c r="F60" s="155" t="s">
        <v>274</v>
      </c>
      <c r="G60" s="172">
        <f>PGI!U46</f>
        <v>39.600221741892199</v>
      </c>
      <c r="H60" s="171"/>
      <c r="I60" s="155" t="s">
        <v>509</v>
      </c>
      <c r="J60" s="155"/>
      <c r="K60" s="155"/>
      <c r="L60" s="155">
        <v>2</v>
      </c>
      <c r="M60" s="155">
        <v>2</v>
      </c>
      <c r="N60" s="155"/>
      <c r="O60" s="217"/>
      <c r="P60" s="230"/>
      <c r="Q60" s="155"/>
      <c r="R60" s="155"/>
      <c r="S60" s="155" t="s">
        <v>644</v>
      </c>
      <c r="T60" s="155"/>
      <c r="U60" s="231"/>
      <c r="V60" s="233" t="s">
        <v>856</v>
      </c>
    </row>
    <row r="61" spans="1:22" x14ac:dyDescent="0.25">
      <c r="A61" s="155"/>
      <c r="B61" s="155"/>
      <c r="C61" s="155"/>
      <c r="D61" s="155"/>
      <c r="E61" s="155"/>
      <c r="F61" s="155" t="s">
        <v>290</v>
      </c>
      <c r="G61" s="172" t="s">
        <v>616</v>
      </c>
      <c r="H61" s="171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 t="s">
        <v>644</v>
      </c>
      <c r="T61" s="155"/>
      <c r="U61" s="231"/>
      <c r="V61" s="229"/>
    </row>
    <row r="62" spans="1:22" x14ac:dyDescent="0.25">
      <c r="A62" s="155"/>
      <c r="B62" s="155"/>
      <c r="C62" s="155"/>
      <c r="D62" s="155"/>
      <c r="E62" s="155"/>
      <c r="F62" s="155" t="s">
        <v>277</v>
      </c>
      <c r="G62" s="172" t="s">
        <v>326</v>
      </c>
      <c r="H62" s="171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 t="s">
        <v>644</v>
      </c>
      <c r="T62" s="155"/>
      <c r="U62" s="231"/>
      <c r="V62" s="229"/>
    </row>
    <row r="63" spans="1:22" x14ac:dyDescent="0.25">
      <c r="A63" s="155"/>
      <c r="B63" s="155"/>
      <c r="C63" s="155"/>
      <c r="D63" s="155"/>
      <c r="E63" s="155"/>
      <c r="F63" s="155" t="s">
        <v>278</v>
      </c>
      <c r="G63" s="172" t="s">
        <v>305</v>
      </c>
      <c r="H63" s="171"/>
      <c r="I63" s="155"/>
      <c r="J63" s="155"/>
      <c r="K63" s="155"/>
      <c r="L63" s="155"/>
      <c r="M63" s="155"/>
      <c r="N63" s="155"/>
      <c r="O63" s="217"/>
      <c r="P63" s="230"/>
      <c r="Q63" s="155"/>
      <c r="R63" s="155"/>
      <c r="S63" s="155" t="s">
        <v>644</v>
      </c>
      <c r="T63" s="155"/>
      <c r="U63" s="231"/>
      <c r="V63" s="229"/>
    </row>
    <row r="64" spans="1:22" x14ac:dyDescent="0.25">
      <c r="A64" s="155"/>
      <c r="B64" s="155"/>
      <c r="C64" s="155"/>
      <c r="D64" s="155"/>
      <c r="E64" s="155"/>
      <c r="F64" s="155" t="s">
        <v>279</v>
      </c>
      <c r="G64" s="172" t="s">
        <v>403</v>
      </c>
      <c r="H64" s="171"/>
      <c r="I64" s="155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 t="s">
        <v>644</v>
      </c>
      <c r="U64" s="231"/>
      <c r="V64" s="229"/>
    </row>
    <row r="65" spans="1:22" ht="30" x14ac:dyDescent="0.25">
      <c r="A65" s="155" t="s">
        <v>25</v>
      </c>
      <c r="B65" s="155" t="s">
        <v>400</v>
      </c>
      <c r="C65" s="155"/>
      <c r="D65" s="155" t="s">
        <v>943</v>
      </c>
      <c r="E65" s="155" t="str">
        <f>PGI!D51</f>
        <v xml:space="preserve">Ethyl acetate </v>
      </c>
      <c r="F65" s="155" t="s">
        <v>274</v>
      </c>
      <c r="G65" s="172">
        <f>16/1.17*G13/3</f>
        <v>10.562541328383423</v>
      </c>
      <c r="H65" s="171"/>
      <c r="I65" s="155" t="s">
        <v>366</v>
      </c>
      <c r="J65" s="155"/>
      <c r="K65" s="155"/>
      <c r="L65" s="155">
        <v>2</v>
      </c>
      <c r="M65" s="155">
        <v>2</v>
      </c>
      <c r="N65" s="155"/>
      <c r="O65" s="217"/>
      <c r="P65" s="230"/>
      <c r="Q65" s="155"/>
      <c r="R65" s="155"/>
      <c r="S65" s="155" t="s">
        <v>644</v>
      </c>
      <c r="T65" s="155"/>
      <c r="U65" s="231"/>
      <c r="V65" s="229" t="s">
        <v>857</v>
      </c>
    </row>
    <row r="66" spans="1:22" x14ac:dyDescent="0.25">
      <c r="A66" s="155"/>
      <c r="B66" s="155"/>
      <c r="C66" s="155"/>
      <c r="D66" s="155"/>
      <c r="E66" s="155"/>
      <c r="F66" s="155" t="s">
        <v>290</v>
      </c>
      <c r="G66" s="172" t="s">
        <v>323</v>
      </c>
      <c r="H66" s="171"/>
      <c r="I66" s="155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 t="s">
        <v>644</v>
      </c>
      <c r="U66" s="231"/>
      <c r="V66" s="229"/>
    </row>
    <row r="67" spans="1:22" x14ac:dyDescent="0.25">
      <c r="A67" s="155"/>
      <c r="B67" s="155"/>
      <c r="C67" s="155"/>
      <c r="D67" s="155"/>
      <c r="E67" s="155"/>
      <c r="F67" s="155" t="s">
        <v>277</v>
      </c>
      <c r="G67" s="172" t="s">
        <v>439</v>
      </c>
      <c r="H67" s="171"/>
      <c r="I67" s="155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 t="s">
        <v>644</v>
      </c>
      <c r="U67" s="231"/>
      <c r="V67" s="229"/>
    </row>
    <row r="68" spans="1:22" x14ac:dyDescent="0.25">
      <c r="A68" s="155"/>
      <c r="B68" s="155"/>
      <c r="C68" s="155"/>
      <c r="D68" s="155"/>
      <c r="E68" s="155"/>
      <c r="F68" s="155" t="s">
        <v>278</v>
      </c>
      <c r="G68" s="172" t="s">
        <v>408</v>
      </c>
      <c r="H68" s="171"/>
      <c r="I68" s="155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 t="s">
        <v>644</v>
      </c>
      <c r="U68" s="231"/>
      <c r="V68" s="229"/>
    </row>
    <row r="69" spans="1:22" x14ac:dyDescent="0.25">
      <c r="A69" s="155"/>
      <c r="B69" s="155"/>
      <c r="C69" s="155"/>
      <c r="D69" s="155"/>
      <c r="E69" s="155"/>
      <c r="F69" s="155" t="s">
        <v>279</v>
      </c>
      <c r="G69" s="172" t="s">
        <v>403</v>
      </c>
      <c r="H69" s="171"/>
      <c r="I69" s="155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 t="s">
        <v>644</v>
      </c>
      <c r="U69" s="231"/>
      <c r="V69" s="229"/>
    </row>
    <row r="70" spans="1:22" ht="30" x14ac:dyDescent="0.25">
      <c r="A70" s="155" t="s">
        <v>25</v>
      </c>
      <c r="B70" s="155" t="s">
        <v>400</v>
      </c>
      <c r="C70" s="155"/>
      <c r="D70" s="155" t="s">
        <v>944</v>
      </c>
      <c r="E70" s="155" t="str">
        <f>PGI!D52</f>
        <v xml:space="preserve">Ethyl acetate </v>
      </c>
      <c r="F70" s="155" t="s">
        <v>274</v>
      </c>
      <c r="G70" s="172">
        <f>16/1.17*G13/3</f>
        <v>10.562541328383423</v>
      </c>
      <c r="H70" s="171"/>
      <c r="I70" s="155" t="s">
        <v>366</v>
      </c>
      <c r="J70" s="155"/>
      <c r="K70" s="155"/>
      <c r="L70" s="155">
        <v>2</v>
      </c>
      <c r="M70" s="155">
        <v>2</v>
      </c>
      <c r="N70" s="155"/>
      <c r="O70" s="217"/>
      <c r="P70" s="230"/>
      <c r="Q70" s="155"/>
      <c r="R70" s="155"/>
      <c r="S70" s="155" t="s">
        <v>644</v>
      </c>
      <c r="T70" s="155"/>
      <c r="U70" s="231"/>
      <c r="V70" s="229"/>
    </row>
    <row r="71" spans="1:22" x14ac:dyDescent="0.25">
      <c r="A71" s="155"/>
      <c r="B71" s="155"/>
      <c r="C71" s="155"/>
      <c r="D71" s="155"/>
      <c r="E71" s="155"/>
      <c r="F71" s="155" t="s">
        <v>290</v>
      </c>
      <c r="G71" s="172" t="s">
        <v>323</v>
      </c>
      <c r="H71" s="171"/>
      <c r="I71" s="155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 t="s">
        <v>644</v>
      </c>
      <c r="U71" s="231"/>
      <c r="V71" s="229"/>
    </row>
    <row r="72" spans="1:22" x14ac:dyDescent="0.25">
      <c r="A72" s="155"/>
      <c r="B72" s="155"/>
      <c r="C72" s="155"/>
      <c r="D72" s="155"/>
      <c r="E72" s="155"/>
      <c r="F72" s="155" t="s">
        <v>277</v>
      </c>
      <c r="G72" s="172" t="s">
        <v>439</v>
      </c>
      <c r="H72" s="171"/>
      <c r="I72" s="155"/>
      <c r="J72" s="155"/>
      <c r="K72" s="155"/>
      <c r="L72" s="155"/>
      <c r="M72" s="155"/>
      <c r="N72" s="155"/>
      <c r="O72" s="217"/>
      <c r="P72" s="230"/>
      <c r="Q72" s="155"/>
      <c r="R72" s="155"/>
      <c r="S72" s="155"/>
      <c r="T72" s="155" t="s">
        <v>644</v>
      </c>
      <c r="U72" s="231"/>
      <c r="V72" s="229"/>
    </row>
    <row r="73" spans="1:22" x14ac:dyDescent="0.25">
      <c r="A73" s="155"/>
      <c r="B73" s="155"/>
      <c r="C73" s="155"/>
      <c r="D73" s="155"/>
      <c r="E73" s="155"/>
      <c r="F73" s="155" t="s">
        <v>278</v>
      </c>
      <c r="G73" s="172" t="s">
        <v>408</v>
      </c>
      <c r="H73" s="171"/>
      <c r="I73" s="155"/>
      <c r="J73" s="155"/>
      <c r="K73" s="155"/>
      <c r="L73" s="155"/>
      <c r="M73" s="155"/>
      <c r="N73" s="155"/>
      <c r="O73" s="217"/>
      <c r="P73" s="230"/>
      <c r="Q73" s="155"/>
      <c r="R73" s="155"/>
      <c r="S73" s="155"/>
      <c r="T73" s="155" t="s">
        <v>644</v>
      </c>
      <c r="U73" s="231"/>
      <c r="V73" s="229"/>
    </row>
    <row r="74" spans="1:22" x14ac:dyDescent="0.25">
      <c r="A74" s="155"/>
      <c r="B74" s="155"/>
      <c r="C74" s="155"/>
      <c r="D74" s="155"/>
      <c r="E74" s="155"/>
      <c r="F74" s="155" t="s">
        <v>279</v>
      </c>
      <c r="G74" s="172" t="s">
        <v>403</v>
      </c>
      <c r="H74" s="171"/>
      <c r="I74" s="155"/>
      <c r="J74" s="155"/>
      <c r="K74" s="155"/>
      <c r="L74" s="155"/>
      <c r="M74" s="155"/>
      <c r="N74" s="155"/>
      <c r="O74" s="217"/>
      <c r="P74" s="230"/>
      <c r="Q74" s="155"/>
      <c r="R74" s="155"/>
      <c r="S74" s="155"/>
      <c r="T74" s="155" t="s">
        <v>644</v>
      </c>
      <c r="U74" s="231"/>
      <c r="V74" s="229"/>
    </row>
    <row r="75" spans="1:22" ht="30" x14ac:dyDescent="0.25">
      <c r="A75" s="155" t="s">
        <v>25</v>
      </c>
      <c r="B75" s="155" t="s">
        <v>400</v>
      </c>
      <c r="C75" s="155"/>
      <c r="D75" s="155" t="s">
        <v>945</v>
      </c>
      <c r="E75" s="155" t="str">
        <f>PGI!D53</f>
        <v xml:space="preserve">Ethyl acetate </v>
      </c>
      <c r="F75" s="155" t="s">
        <v>274</v>
      </c>
      <c r="G75" s="172">
        <f>16/1.17*G13/3</f>
        <v>10.562541328383423</v>
      </c>
      <c r="H75" s="171"/>
      <c r="I75" s="155" t="s">
        <v>366</v>
      </c>
      <c r="J75" s="155"/>
      <c r="K75" s="155"/>
      <c r="L75" s="155">
        <v>2</v>
      </c>
      <c r="M75" s="155">
        <v>2</v>
      </c>
      <c r="N75" s="155"/>
      <c r="O75" s="217"/>
      <c r="P75" s="230"/>
      <c r="Q75" s="155"/>
      <c r="R75" s="155"/>
      <c r="S75" s="155" t="s">
        <v>644</v>
      </c>
      <c r="T75" s="155"/>
      <c r="U75" s="231"/>
      <c r="V75" s="229"/>
    </row>
    <row r="76" spans="1:22" x14ac:dyDescent="0.25">
      <c r="A76" s="155"/>
      <c r="B76" s="155"/>
      <c r="C76" s="155"/>
      <c r="D76" s="155"/>
      <c r="E76" s="155"/>
      <c r="F76" s="155" t="s">
        <v>290</v>
      </c>
      <c r="G76" s="172" t="s">
        <v>323</v>
      </c>
      <c r="H76" s="171"/>
      <c r="I76" s="155"/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 t="s">
        <v>644</v>
      </c>
      <c r="U76" s="231"/>
      <c r="V76" s="229"/>
    </row>
    <row r="77" spans="1:22" x14ac:dyDescent="0.25">
      <c r="A77" s="155"/>
      <c r="B77" s="155"/>
      <c r="C77" s="155"/>
      <c r="D77" s="155"/>
      <c r="E77" s="155"/>
      <c r="F77" s="155" t="s">
        <v>277</v>
      </c>
      <c r="G77" s="172" t="s">
        <v>439</v>
      </c>
      <c r="H77" s="171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 t="s">
        <v>644</v>
      </c>
      <c r="U77" s="231"/>
      <c r="V77" s="229"/>
    </row>
    <row r="78" spans="1:22" x14ac:dyDescent="0.25">
      <c r="A78" s="155"/>
      <c r="B78" s="155"/>
      <c r="C78" s="155"/>
      <c r="D78" s="155"/>
      <c r="E78" s="155"/>
      <c r="F78" s="155" t="s">
        <v>278</v>
      </c>
      <c r="G78" s="172" t="s">
        <v>408</v>
      </c>
      <c r="H78" s="171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 t="s">
        <v>644</v>
      </c>
      <c r="U78" s="231"/>
      <c r="V78" s="229"/>
    </row>
    <row r="79" spans="1:22" x14ac:dyDescent="0.25">
      <c r="A79" s="155"/>
      <c r="B79" s="155"/>
      <c r="C79" s="155"/>
      <c r="D79" s="155"/>
      <c r="E79" s="155"/>
      <c r="F79" s="155" t="s">
        <v>279</v>
      </c>
      <c r="G79" s="172" t="s">
        <v>403</v>
      </c>
      <c r="H79" s="171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 t="s">
        <v>644</v>
      </c>
      <c r="U79" s="231"/>
      <c r="V79" s="229"/>
    </row>
    <row r="80" spans="1:22" x14ac:dyDescent="0.25">
      <c r="A80" s="155" t="s">
        <v>25</v>
      </c>
      <c r="B80" s="155" t="s">
        <v>430</v>
      </c>
      <c r="C80" s="155"/>
      <c r="D80" s="155" t="s">
        <v>397</v>
      </c>
      <c r="E80" s="155"/>
      <c r="F80" s="155" t="s">
        <v>431</v>
      </c>
      <c r="G80" s="172" t="s">
        <v>408</v>
      </c>
      <c r="H80" s="171"/>
      <c r="I80" s="155" t="s">
        <v>366</v>
      </c>
      <c r="J80" s="155"/>
      <c r="K80" s="155"/>
      <c r="L80" s="155">
        <v>2</v>
      </c>
      <c r="M80" s="155">
        <v>2</v>
      </c>
      <c r="N80" s="155"/>
      <c r="O80" s="217"/>
      <c r="P80" s="230"/>
      <c r="Q80" s="155"/>
      <c r="R80" s="155"/>
      <c r="S80" s="155"/>
      <c r="T80" s="155" t="s">
        <v>644</v>
      </c>
      <c r="U80" s="231"/>
      <c r="V80" s="229"/>
    </row>
    <row r="81" spans="1:22" ht="60" x14ac:dyDescent="0.25">
      <c r="A81" s="155" t="s">
        <v>25</v>
      </c>
      <c r="B81" s="155" t="s">
        <v>400</v>
      </c>
      <c r="C81" s="155"/>
      <c r="D81" s="155" t="s">
        <v>617</v>
      </c>
      <c r="E81" s="155" t="str">
        <f>PGI!D48</f>
        <v>Sodium chloride</v>
      </c>
      <c r="F81" s="155" t="s">
        <v>274</v>
      </c>
      <c r="G81" s="172">
        <f>PGI!U48</f>
        <v>9.2686300156564538</v>
      </c>
      <c r="H81" s="171"/>
      <c r="I81" s="155" t="s">
        <v>366</v>
      </c>
      <c r="J81" s="155"/>
      <c r="K81" s="155"/>
      <c r="L81" s="155">
        <v>2</v>
      </c>
      <c r="M81" s="155">
        <v>2</v>
      </c>
      <c r="N81" s="155"/>
      <c r="O81" s="217"/>
      <c r="P81" s="230"/>
      <c r="Q81" s="155"/>
      <c r="R81" s="155"/>
      <c r="S81" s="155" t="s">
        <v>644</v>
      </c>
      <c r="T81" s="155"/>
      <c r="U81" s="231"/>
      <c r="V81" s="229" t="s">
        <v>618</v>
      </c>
    </row>
    <row r="82" spans="1:22" x14ac:dyDescent="0.25">
      <c r="A82" s="155"/>
      <c r="B82" s="155"/>
      <c r="C82" s="155"/>
      <c r="D82" s="155"/>
      <c r="E82" s="155" t="str">
        <f>PGI!D47</f>
        <v>Water</v>
      </c>
      <c r="F82" s="155" t="s">
        <v>274</v>
      </c>
      <c r="G82" s="172">
        <f>PGI!U47</f>
        <v>21.781280536792668</v>
      </c>
      <c r="H82" s="171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A83" s="155"/>
      <c r="B83" s="155"/>
      <c r="C83" s="155"/>
      <c r="D83" s="155"/>
      <c r="E83" s="155"/>
      <c r="F83" s="155" t="s">
        <v>290</v>
      </c>
      <c r="G83" s="172" t="s">
        <v>323</v>
      </c>
      <c r="H83" s="171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 t="s">
        <v>644</v>
      </c>
      <c r="U83" s="231"/>
      <c r="V83" s="229"/>
    </row>
    <row r="84" spans="1:22" x14ac:dyDescent="0.25">
      <c r="A84" s="155"/>
      <c r="B84" s="155"/>
      <c r="C84" s="155"/>
      <c r="D84" s="155"/>
      <c r="E84" s="155"/>
      <c r="F84" s="155" t="s">
        <v>277</v>
      </c>
      <c r="G84" s="172" t="s">
        <v>439</v>
      </c>
      <c r="H84" s="171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 t="s">
        <v>644</v>
      </c>
      <c r="U84" s="231"/>
      <c r="V84" s="229"/>
    </row>
    <row r="85" spans="1:22" x14ac:dyDescent="0.25">
      <c r="A85" s="155"/>
      <c r="B85" s="155"/>
      <c r="C85" s="155"/>
      <c r="D85" s="155"/>
      <c r="E85" s="155"/>
      <c r="F85" s="155" t="s">
        <v>278</v>
      </c>
      <c r="G85" s="172" t="s">
        <v>408</v>
      </c>
      <c r="H85" s="171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 t="s">
        <v>644</v>
      </c>
      <c r="U85" s="231"/>
      <c r="V85" s="229"/>
    </row>
    <row r="86" spans="1:22" x14ac:dyDescent="0.25">
      <c r="A86" s="155"/>
      <c r="B86" s="155"/>
      <c r="C86" s="155"/>
      <c r="D86" s="155"/>
      <c r="E86" s="155"/>
      <c r="F86" s="155" t="s">
        <v>858</v>
      </c>
      <c r="G86" s="172" t="s">
        <v>323</v>
      </c>
      <c r="H86" s="171"/>
      <c r="I86" s="155"/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29"/>
    </row>
    <row r="87" spans="1:22" x14ac:dyDescent="0.25">
      <c r="A87" s="155"/>
      <c r="B87" s="155"/>
      <c r="C87" s="155"/>
      <c r="D87" s="155"/>
      <c r="E87" s="155"/>
      <c r="F87" s="155" t="s">
        <v>279</v>
      </c>
      <c r="G87" s="172" t="s">
        <v>403</v>
      </c>
      <c r="H87" s="171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 t="s">
        <v>644</v>
      </c>
      <c r="U87" s="231"/>
      <c r="V87" s="229"/>
    </row>
    <row r="88" spans="1:22" x14ac:dyDescent="0.25">
      <c r="A88" s="155" t="s">
        <v>25</v>
      </c>
      <c r="B88" s="155" t="s">
        <v>430</v>
      </c>
      <c r="C88" s="155"/>
      <c r="D88" s="155" t="s">
        <v>399</v>
      </c>
      <c r="E88" s="155"/>
      <c r="F88" s="155" t="s">
        <v>431</v>
      </c>
      <c r="G88" s="172" t="s">
        <v>408</v>
      </c>
      <c r="H88" s="171"/>
      <c r="I88" s="155" t="s">
        <v>366</v>
      </c>
      <c r="J88" s="155"/>
      <c r="K88" s="155"/>
      <c r="L88" s="155">
        <v>2</v>
      </c>
      <c r="M88" s="155">
        <v>2</v>
      </c>
      <c r="N88" s="155"/>
      <c r="O88" s="217"/>
      <c r="P88" s="230"/>
      <c r="Q88" s="155"/>
      <c r="R88" s="155"/>
      <c r="S88" s="155"/>
      <c r="T88" s="155" t="s">
        <v>644</v>
      </c>
      <c r="U88" s="231"/>
      <c r="V88" s="229"/>
    </row>
    <row r="89" spans="1:22" ht="30" x14ac:dyDescent="0.25">
      <c r="A89" s="158" t="s">
        <v>25</v>
      </c>
      <c r="B89" s="158" t="s">
        <v>309</v>
      </c>
      <c r="C89" s="158"/>
      <c r="D89" s="158" t="s">
        <v>619</v>
      </c>
      <c r="E89" s="158"/>
      <c r="F89" s="158" t="s">
        <v>290</v>
      </c>
      <c r="G89" s="263" t="s">
        <v>608</v>
      </c>
      <c r="H89" s="273"/>
      <c r="I89" s="158"/>
      <c r="J89" s="158"/>
      <c r="K89" s="158"/>
      <c r="L89" s="155">
        <v>1</v>
      </c>
      <c r="M89" s="155" t="s">
        <v>595</v>
      </c>
      <c r="N89" s="155"/>
      <c r="O89" s="217"/>
      <c r="P89" s="230"/>
      <c r="Q89" s="155"/>
      <c r="R89" s="155"/>
      <c r="S89" s="155"/>
      <c r="T89" s="155" t="s">
        <v>644</v>
      </c>
      <c r="U89" s="231"/>
      <c r="V89" s="229"/>
    </row>
    <row r="90" spans="1:22" x14ac:dyDescent="0.25">
      <c r="A90" s="158"/>
      <c r="B90" s="158"/>
      <c r="C90" s="158"/>
      <c r="D90" s="158"/>
      <c r="E90" s="158"/>
      <c r="F90" s="158" t="s">
        <v>291</v>
      </c>
      <c r="G90" s="263" t="s">
        <v>608</v>
      </c>
      <c r="H90" s="273"/>
      <c r="I90" s="158"/>
      <c r="J90" s="158"/>
      <c r="K90" s="158"/>
      <c r="L90" s="155"/>
      <c r="M90" s="155"/>
      <c r="N90" s="155"/>
      <c r="O90" s="217"/>
      <c r="P90" s="230"/>
      <c r="Q90" s="155"/>
      <c r="R90" s="155"/>
      <c r="S90" s="155"/>
      <c r="T90" s="155" t="s">
        <v>644</v>
      </c>
      <c r="U90" s="231"/>
      <c r="V90" s="229"/>
    </row>
    <row r="91" spans="1:22" x14ac:dyDescent="0.25">
      <c r="A91" s="158"/>
      <c r="B91" s="158"/>
      <c r="C91" s="158"/>
      <c r="D91" s="158"/>
      <c r="E91" s="158"/>
      <c r="F91" s="158" t="s">
        <v>278</v>
      </c>
      <c r="G91" s="263" t="s">
        <v>608</v>
      </c>
      <c r="H91" s="273"/>
      <c r="I91" s="158"/>
      <c r="J91" s="158"/>
      <c r="K91" s="158"/>
      <c r="L91" s="155"/>
      <c r="M91" s="155"/>
      <c r="N91" s="155"/>
      <c r="O91" s="217"/>
      <c r="P91" s="230"/>
      <c r="Q91" s="155"/>
      <c r="R91" s="155"/>
      <c r="S91" s="155"/>
      <c r="T91" s="155" t="s">
        <v>644</v>
      </c>
      <c r="U91" s="231"/>
      <c r="V91" s="229"/>
    </row>
    <row r="92" spans="1:22" x14ac:dyDescent="0.25">
      <c r="A92" s="158"/>
      <c r="B92" s="158"/>
      <c r="C92" s="158"/>
      <c r="D92" s="158"/>
      <c r="E92" s="158"/>
      <c r="F92" s="158" t="s">
        <v>284</v>
      </c>
      <c r="G92" s="263"/>
      <c r="H92" s="273"/>
      <c r="I92" s="158"/>
      <c r="J92" s="158"/>
      <c r="K92" s="158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/>
      <c r="B93" s="158"/>
      <c r="C93" s="158"/>
      <c r="D93" s="158"/>
      <c r="E93" s="158"/>
      <c r="F93" s="158" t="s">
        <v>310</v>
      </c>
      <c r="G93" s="263" t="s">
        <v>438</v>
      </c>
      <c r="H93" s="273"/>
      <c r="I93" s="158"/>
      <c r="J93" s="158"/>
      <c r="K93" s="158"/>
      <c r="L93" s="155"/>
      <c r="M93" s="155"/>
      <c r="N93" s="155"/>
      <c r="O93" s="217"/>
      <c r="P93" s="230"/>
      <c r="Q93" s="155"/>
      <c r="R93" s="155"/>
      <c r="S93" s="155"/>
      <c r="T93" s="155" t="s">
        <v>644</v>
      </c>
      <c r="U93" s="231"/>
      <c r="V93" s="229"/>
    </row>
    <row r="94" spans="1:22" ht="30" x14ac:dyDescent="0.25">
      <c r="A94" s="155" t="s">
        <v>25</v>
      </c>
      <c r="B94" s="155" t="s">
        <v>427</v>
      </c>
      <c r="C94" s="155"/>
      <c r="D94" s="155" t="s">
        <v>620</v>
      </c>
      <c r="E94" s="155"/>
      <c r="F94" s="155" t="s">
        <v>290</v>
      </c>
      <c r="G94" s="172" t="s">
        <v>621</v>
      </c>
      <c r="H94" s="171">
        <f>12.5/1.17*G13</f>
        <v>24.75595623839865</v>
      </c>
      <c r="I94" s="155" t="s">
        <v>396</v>
      </c>
      <c r="J94" s="155"/>
      <c r="K94" s="155"/>
      <c r="L94" s="155">
        <v>1</v>
      </c>
      <c r="M94" s="155">
        <v>3</v>
      </c>
      <c r="N94" s="155"/>
      <c r="O94" s="217"/>
      <c r="P94" s="230"/>
      <c r="Q94" s="155"/>
      <c r="R94" s="155"/>
      <c r="S94" s="155" t="s">
        <v>644</v>
      </c>
      <c r="T94" s="155"/>
      <c r="U94" s="231"/>
      <c r="V94" s="229" t="s">
        <v>622</v>
      </c>
    </row>
    <row r="95" spans="1:22" ht="30" x14ac:dyDescent="0.25">
      <c r="A95" s="155"/>
      <c r="B95" s="155"/>
      <c r="C95" s="155"/>
      <c r="D95" s="155"/>
      <c r="E95" s="155"/>
      <c r="F95" s="155" t="s">
        <v>291</v>
      </c>
      <c r="G95" s="172" t="s">
        <v>323</v>
      </c>
      <c r="H95" s="171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 t="s">
        <v>644</v>
      </c>
      <c r="U95" s="231"/>
      <c r="V95" s="229" t="s">
        <v>860</v>
      </c>
    </row>
    <row r="96" spans="1:22" ht="30" x14ac:dyDescent="0.25">
      <c r="A96" s="155"/>
      <c r="B96" s="155"/>
      <c r="C96" s="155"/>
      <c r="D96" s="155"/>
      <c r="E96" s="155"/>
      <c r="F96" s="155" t="s">
        <v>300</v>
      </c>
      <c r="G96" s="172" t="s">
        <v>859</v>
      </c>
      <c r="H96" s="171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 t="s">
        <v>644</v>
      </c>
      <c r="T96" s="155"/>
      <c r="U96" s="231"/>
      <c r="V96" s="229"/>
    </row>
    <row r="97" spans="1:22" x14ac:dyDescent="0.25">
      <c r="A97" s="155"/>
      <c r="B97" s="155"/>
      <c r="C97" s="155"/>
      <c r="D97" s="155"/>
      <c r="E97" s="155"/>
      <c r="F97" s="155" t="s">
        <v>278</v>
      </c>
      <c r="G97" s="172" t="s">
        <v>612</v>
      </c>
      <c r="H97" s="171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 t="s">
        <v>644</v>
      </c>
      <c r="T97" s="155"/>
      <c r="U97" s="231"/>
      <c r="V97" s="229"/>
    </row>
    <row r="98" spans="1:22" ht="75" x14ac:dyDescent="0.25">
      <c r="A98" s="155"/>
      <c r="B98" s="155"/>
      <c r="C98" s="155"/>
      <c r="D98" s="155"/>
      <c r="E98" s="155"/>
      <c r="F98" s="155" t="s">
        <v>295</v>
      </c>
      <c r="G98" s="172" t="s">
        <v>854</v>
      </c>
      <c r="H98" s="171"/>
      <c r="I98" s="155"/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 t="s">
        <v>644</v>
      </c>
      <c r="U98" s="231"/>
      <c r="V98" s="229"/>
    </row>
    <row r="99" spans="1:22" ht="30" x14ac:dyDescent="0.25">
      <c r="A99" s="155" t="s">
        <v>25</v>
      </c>
      <c r="B99" s="155" t="s">
        <v>400</v>
      </c>
      <c r="C99" s="155"/>
      <c r="D99" s="155" t="s">
        <v>874</v>
      </c>
      <c r="E99" s="155" t="str">
        <f>PGI!D50</f>
        <v>HCl in IPrOH</v>
      </c>
      <c r="F99" s="155" t="s">
        <v>274</v>
      </c>
      <c r="G99" s="172">
        <f>PGI!U50</f>
        <v>1.5988386777007382</v>
      </c>
      <c r="H99" s="171"/>
      <c r="I99" s="155" t="s">
        <v>509</v>
      </c>
      <c r="J99" s="155"/>
      <c r="K99" s="155"/>
      <c r="L99" s="155">
        <v>2</v>
      </c>
      <c r="M99" s="155">
        <v>3</v>
      </c>
      <c r="N99" s="155"/>
      <c r="O99" s="217"/>
      <c r="P99" s="230"/>
      <c r="Q99" s="155"/>
      <c r="R99" s="155"/>
      <c r="S99" s="155" t="s">
        <v>644</v>
      </c>
      <c r="T99" s="155"/>
      <c r="U99" s="231"/>
      <c r="V99" s="229"/>
    </row>
    <row r="100" spans="1:22" x14ac:dyDescent="0.25">
      <c r="A100" s="155"/>
      <c r="B100" s="155"/>
      <c r="C100" s="155"/>
      <c r="D100" s="155"/>
      <c r="E100" s="155"/>
      <c r="F100" s="155" t="s">
        <v>290</v>
      </c>
      <c r="G100" s="172" t="s">
        <v>621</v>
      </c>
      <c r="H100" s="171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 t="s">
        <v>644</v>
      </c>
      <c r="U100" s="231"/>
      <c r="V100" s="229"/>
    </row>
    <row r="101" spans="1:22" x14ac:dyDescent="0.25">
      <c r="A101" s="155"/>
      <c r="B101" s="155"/>
      <c r="C101" s="155"/>
      <c r="D101" s="155"/>
      <c r="E101" s="155"/>
      <c r="F101" s="155" t="s">
        <v>277</v>
      </c>
      <c r="G101" s="172"/>
      <c r="H101" s="171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A102" s="155"/>
      <c r="B102" s="155"/>
      <c r="C102" s="155"/>
      <c r="D102" s="155"/>
      <c r="E102" s="155"/>
      <c r="F102" s="155" t="s">
        <v>278</v>
      </c>
      <c r="G102" s="172" t="s">
        <v>612</v>
      </c>
      <c r="H102" s="171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 t="s">
        <v>644</v>
      </c>
      <c r="T102" s="155"/>
      <c r="U102" s="231"/>
      <c r="V102" s="229"/>
    </row>
    <row r="103" spans="1:22" x14ac:dyDescent="0.25">
      <c r="A103" s="155"/>
      <c r="B103" s="155"/>
      <c r="C103" s="155"/>
      <c r="D103" s="155"/>
      <c r="E103" s="155"/>
      <c r="F103" s="155" t="s">
        <v>279</v>
      </c>
      <c r="G103" s="172" t="s">
        <v>318</v>
      </c>
      <c r="H103" s="171"/>
      <c r="I103" s="155"/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 t="s">
        <v>644</v>
      </c>
      <c r="U103" s="231"/>
      <c r="V103" s="229"/>
    </row>
    <row r="104" spans="1:22" ht="30" x14ac:dyDescent="0.25">
      <c r="A104" s="158" t="s">
        <v>25</v>
      </c>
      <c r="B104" s="158" t="s">
        <v>309</v>
      </c>
      <c r="C104" s="158"/>
      <c r="D104" s="158" t="s">
        <v>623</v>
      </c>
      <c r="E104" s="158"/>
      <c r="F104" s="158" t="s">
        <v>290</v>
      </c>
      <c r="G104" s="172" t="s">
        <v>621</v>
      </c>
      <c r="H104" s="171"/>
      <c r="I104" s="155"/>
      <c r="J104" s="155"/>
      <c r="K104" s="155"/>
      <c r="L104" s="155">
        <v>2</v>
      </c>
      <c r="M104" s="155" t="s">
        <v>336</v>
      </c>
      <c r="N104" s="155"/>
      <c r="O104" s="217"/>
      <c r="P104" s="230"/>
      <c r="Q104" s="155"/>
      <c r="R104" s="155"/>
      <c r="S104" s="155" t="s">
        <v>644</v>
      </c>
      <c r="T104" s="155"/>
      <c r="U104" s="231"/>
      <c r="V104" s="229" t="s">
        <v>861</v>
      </c>
    </row>
    <row r="105" spans="1:22" x14ac:dyDescent="0.25">
      <c r="A105" s="158"/>
      <c r="B105" s="158"/>
      <c r="C105" s="158"/>
      <c r="D105" s="158"/>
      <c r="E105" s="158"/>
      <c r="F105" s="158" t="s">
        <v>291</v>
      </c>
      <c r="G105" s="263"/>
      <c r="H105" s="171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/>
    </row>
    <row r="106" spans="1:22" x14ac:dyDescent="0.25">
      <c r="A106" s="158"/>
      <c r="B106" s="158"/>
      <c r="C106" s="158"/>
      <c r="D106" s="158"/>
      <c r="E106" s="158"/>
      <c r="F106" s="158" t="s">
        <v>278</v>
      </c>
      <c r="G106" s="263" t="s">
        <v>612</v>
      </c>
      <c r="H106" s="171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 t="s">
        <v>644</v>
      </c>
      <c r="T106" s="155"/>
      <c r="U106" s="231"/>
      <c r="V106" s="229"/>
    </row>
    <row r="107" spans="1:22" x14ac:dyDescent="0.25">
      <c r="A107" s="158"/>
      <c r="B107" s="158"/>
      <c r="C107" s="158"/>
      <c r="D107" s="158"/>
      <c r="E107" s="158"/>
      <c r="F107" s="158" t="s">
        <v>284</v>
      </c>
      <c r="G107" s="263" t="s">
        <v>532</v>
      </c>
      <c r="H107" s="171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 t="s">
        <v>644</v>
      </c>
      <c r="T107" s="155"/>
      <c r="U107" s="231"/>
      <c r="V107" s="229"/>
    </row>
    <row r="108" spans="1:22" x14ac:dyDescent="0.25">
      <c r="A108" s="158"/>
      <c r="B108" s="158"/>
      <c r="C108" s="158"/>
      <c r="D108" s="158"/>
      <c r="E108" s="158"/>
      <c r="F108" s="158" t="s">
        <v>310</v>
      </c>
      <c r="G108" s="263" t="s">
        <v>438</v>
      </c>
      <c r="H108" s="171"/>
      <c r="I108" s="155"/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 t="s">
        <v>644</v>
      </c>
      <c r="U108" s="231"/>
      <c r="V108" s="229"/>
    </row>
    <row r="109" spans="1:22" x14ac:dyDescent="0.25">
      <c r="A109" s="155" t="s">
        <v>25</v>
      </c>
      <c r="B109" s="155" t="s">
        <v>427</v>
      </c>
      <c r="C109" s="155"/>
      <c r="D109" s="155" t="s">
        <v>865</v>
      </c>
      <c r="E109" s="155"/>
      <c r="F109" s="155" t="s">
        <v>290</v>
      </c>
      <c r="G109" s="172" t="s">
        <v>428</v>
      </c>
      <c r="H109" s="171"/>
      <c r="I109" s="155" t="s">
        <v>396</v>
      </c>
      <c r="J109" s="155"/>
      <c r="K109" s="155"/>
      <c r="L109" s="155">
        <v>1</v>
      </c>
      <c r="M109" s="155">
        <v>4</v>
      </c>
      <c r="N109" s="155"/>
      <c r="O109" s="217"/>
      <c r="P109" s="230"/>
      <c r="Q109" s="155"/>
      <c r="R109" s="155"/>
      <c r="S109" s="155"/>
      <c r="T109" s="155" t="s">
        <v>644</v>
      </c>
      <c r="U109" s="231"/>
      <c r="V109" s="229" t="s">
        <v>416</v>
      </c>
    </row>
    <row r="110" spans="1:22" x14ac:dyDescent="0.25">
      <c r="A110" s="155"/>
      <c r="B110" s="155"/>
      <c r="C110" s="155"/>
      <c r="D110" s="155"/>
      <c r="E110" s="155"/>
      <c r="F110" s="155" t="s">
        <v>291</v>
      </c>
      <c r="G110" s="172" t="s">
        <v>621</v>
      </c>
      <c r="H110" s="171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 t="s">
        <v>644</v>
      </c>
      <c r="T110" s="155"/>
      <c r="U110" s="231"/>
      <c r="V110" s="229"/>
    </row>
    <row r="111" spans="1:22" ht="30" x14ac:dyDescent="0.25">
      <c r="A111" s="155"/>
      <c r="B111" s="155"/>
      <c r="C111" s="155"/>
      <c r="D111" s="155"/>
      <c r="E111" s="155"/>
      <c r="F111" s="155" t="s">
        <v>300</v>
      </c>
      <c r="G111" s="172" t="s">
        <v>538</v>
      </c>
      <c r="H111" s="171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 t="s">
        <v>644</v>
      </c>
      <c r="T111" s="155"/>
      <c r="U111" s="231"/>
      <c r="V111" s="229"/>
    </row>
    <row r="112" spans="1:22" x14ac:dyDescent="0.25">
      <c r="A112" s="155"/>
      <c r="B112" s="155"/>
      <c r="C112" s="155"/>
      <c r="D112" s="155"/>
      <c r="E112" s="155"/>
      <c r="F112" s="155" t="s">
        <v>278</v>
      </c>
      <c r="G112" s="172" t="s">
        <v>612</v>
      </c>
      <c r="H112" s="171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 t="s">
        <v>644</v>
      </c>
      <c r="T112" s="155"/>
      <c r="U112" s="231"/>
      <c r="V112" s="229"/>
    </row>
    <row r="113" spans="1:25" x14ac:dyDescent="0.25">
      <c r="A113" s="155"/>
      <c r="B113" s="155"/>
      <c r="C113" s="155"/>
      <c r="D113" s="155"/>
      <c r="E113" s="155"/>
      <c r="F113" s="155" t="s">
        <v>295</v>
      </c>
      <c r="G113" s="172" t="s">
        <v>862</v>
      </c>
      <c r="H113" s="171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 t="s">
        <v>644</v>
      </c>
      <c r="U113" s="231"/>
      <c r="V113" s="229"/>
    </row>
    <row r="114" spans="1:25" s="262" customFormat="1" x14ac:dyDescent="0.25">
      <c r="A114" s="155" t="s">
        <v>25</v>
      </c>
      <c r="B114" s="155" t="s">
        <v>400</v>
      </c>
      <c r="C114" s="155"/>
      <c r="D114" s="155" t="s">
        <v>875</v>
      </c>
      <c r="E114" s="155" t="str">
        <f>PGI!D54</f>
        <v>2-propanol</v>
      </c>
      <c r="F114" s="155" t="s">
        <v>274</v>
      </c>
      <c r="G114" s="172">
        <f>PGI!U54</f>
        <v>4.5</v>
      </c>
      <c r="H114" s="236"/>
      <c r="I114" s="162"/>
      <c r="J114" s="162"/>
      <c r="K114" s="162"/>
      <c r="L114" s="155">
        <v>2</v>
      </c>
      <c r="M114" s="160">
        <v>4</v>
      </c>
      <c r="N114" s="162"/>
      <c r="O114" s="259"/>
      <c r="P114" s="260"/>
      <c r="Q114" s="162"/>
      <c r="R114" s="162"/>
      <c r="S114" s="162"/>
      <c r="T114" s="162"/>
      <c r="U114" s="261"/>
      <c r="V114" s="233" t="s">
        <v>864</v>
      </c>
      <c r="Y114" s="274"/>
    </row>
    <row r="115" spans="1:25" s="262" customFormat="1" x14ac:dyDescent="0.25">
      <c r="A115" s="155"/>
      <c r="B115" s="155"/>
      <c r="C115" s="155"/>
      <c r="D115" s="155"/>
      <c r="E115" s="155"/>
      <c r="F115" s="155" t="s">
        <v>290</v>
      </c>
      <c r="G115" s="172" t="s">
        <v>621</v>
      </c>
      <c r="H115" s="236"/>
      <c r="I115" s="162"/>
      <c r="J115" s="162"/>
      <c r="K115" s="162"/>
      <c r="L115" s="162"/>
      <c r="M115" s="162"/>
      <c r="N115" s="162"/>
      <c r="O115" s="259"/>
      <c r="P115" s="260"/>
      <c r="Q115" s="162"/>
      <c r="R115" s="162"/>
      <c r="S115" s="162"/>
      <c r="T115" s="162"/>
      <c r="U115" s="261"/>
      <c r="V115" s="233"/>
      <c r="Y115" s="274"/>
    </row>
    <row r="116" spans="1:25" s="262" customFormat="1" x14ac:dyDescent="0.25">
      <c r="A116" s="155"/>
      <c r="B116" s="155"/>
      <c r="C116" s="155"/>
      <c r="D116" s="155"/>
      <c r="E116" s="155"/>
      <c r="F116" s="155" t="s">
        <v>277</v>
      </c>
      <c r="G116" s="172"/>
      <c r="H116" s="236"/>
      <c r="I116" s="162"/>
      <c r="J116" s="162"/>
      <c r="K116" s="162"/>
      <c r="L116" s="162"/>
      <c r="M116" s="162"/>
      <c r="N116" s="162"/>
      <c r="O116" s="259"/>
      <c r="P116" s="260"/>
      <c r="Q116" s="162"/>
      <c r="R116" s="162"/>
      <c r="S116" s="162"/>
      <c r="T116" s="162"/>
      <c r="U116" s="261"/>
      <c r="V116" s="233"/>
      <c r="Y116" s="274"/>
    </row>
    <row r="117" spans="1:25" s="262" customFormat="1" x14ac:dyDescent="0.25">
      <c r="A117" s="155"/>
      <c r="B117" s="155"/>
      <c r="C117" s="155"/>
      <c r="D117" s="155"/>
      <c r="E117" s="155"/>
      <c r="F117" s="155" t="s">
        <v>278</v>
      </c>
      <c r="G117" s="172" t="s">
        <v>612</v>
      </c>
      <c r="H117" s="236"/>
      <c r="I117" s="162"/>
      <c r="J117" s="162"/>
      <c r="K117" s="162"/>
      <c r="L117" s="162"/>
      <c r="M117" s="162"/>
      <c r="N117" s="162"/>
      <c r="O117" s="259"/>
      <c r="P117" s="260"/>
      <c r="Q117" s="162"/>
      <c r="R117" s="162"/>
      <c r="S117" s="162"/>
      <c r="T117" s="162"/>
      <c r="U117" s="261"/>
      <c r="V117" s="233"/>
      <c r="Y117" s="274"/>
    </row>
    <row r="118" spans="1:25" s="262" customFormat="1" x14ac:dyDescent="0.25">
      <c r="A118" s="155"/>
      <c r="B118" s="155"/>
      <c r="C118" s="155"/>
      <c r="D118" s="155"/>
      <c r="E118" s="155"/>
      <c r="F118" s="155" t="s">
        <v>279</v>
      </c>
      <c r="G118" s="172" t="s">
        <v>318</v>
      </c>
      <c r="H118" s="236"/>
      <c r="I118" s="162"/>
      <c r="J118" s="162"/>
      <c r="K118" s="162"/>
      <c r="L118" s="162"/>
      <c r="M118" s="162"/>
      <c r="N118" s="162"/>
      <c r="O118" s="259"/>
      <c r="P118" s="260"/>
      <c r="Q118" s="162"/>
      <c r="R118" s="162"/>
      <c r="S118" s="162"/>
      <c r="T118" s="162"/>
      <c r="U118" s="261"/>
      <c r="V118" s="233"/>
      <c r="Y118" s="274"/>
    </row>
    <row r="119" spans="1:25" x14ac:dyDescent="0.25">
      <c r="A119" s="155" t="s">
        <v>25</v>
      </c>
      <c r="B119" s="155" t="s">
        <v>427</v>
      </c>
      <c r="C119" s="155"/>
      <c r="D119" s="155" t="s">
        <v>866</v>
      </c>
      <c r="E119" s="155"/>
      <c r="F119" s="155" t="s">
        <v>290</v>
      </c>
      <c r="G119" s="172" t="s">
        <v>428</v>
      </c>
      <c r="H119" s="171"/>
      <c r="I119" s="155" t="s">
        <v>396</v>
      </c>
      <c r="J119" s="155"/>
      <c r="K119" s="155"/>
      <c r="L119" s="155">
        <v>1</v>
      </c>
      <c r="M119" s="155">
        <v>4</v>
      </c>
      <c r="N119" s="155"/>
      <c r="O119" s="217"/>
      <c r="P119" s="230"/>
      <c r="Q119" s="155"/>
      <c r="R119" s="155"/>
      <c r="S119" s="155"/>
      <c r="T119" s="155" t="s">
        <v>644</v>
      </c>
      <c r="U119" s="231"/>
      <c r="V119" s="229" t="s">
        <v>416</v>
      </c>
    </row>
    <row r="120" spans="1:25" x14ac:dyDescent="0.25">
      <c r="A120" s="155"/>
      <c r="B120" s="155"/>
      <c r="C120" s="155"/>
      <c r="D120" s="155"/>
      <c r="E120" s="155"/>
      <c r="F120" s="155" t="s">
        <v>291</v>
      </c>
      <c r="G120" s="172" t="s">
        <v>621</v>
      </c>
      <c r="H120" s="171"/>
      <c r="I120" s="155"/>
      <c r="J120" s="155"/>
      <c r="K120" s="155"/>
      <c r="L120" s="155"/>
      <c r="M120" s="155"/>
      <c r="N120" s="155"/>
      <c r="O120" s="217"/>
      <c r="P120" s="230"/>
      <c r="Q120" s="155"/>
      <c r="R120" s="155"/>
      <c r="S120" s="155" t="s">
        <v>644</v>
      </c>
      <c r="T120" s="155"/>
      <c r="U120" s="231"/>
      <c r="V120" s="229"/>
    </row>
    <row r="121" spans="1:25" ht="30" x14ac:dyDescent="0.25">
      <c r="A121" s="155"/>
      <c r="B121" s="155"/>
      <c r="C121" s="155"/>
      <c r="D121" s="155"/>
      <c r="E121" s="155"/>
      <c r="F121" s="155" t="s">
        <v>300</v>
      </c>
      <c r="G121" s="172" t="s">
        <v>538</v>
      </c>
      <c r="H121" s="171"/>
      <c r="I121" s="155"/>
      <c r="J121" s="155"/>
      <c r="K121" s="155"/>
      <c r="L121" s="155"/>
      <c r="M121" s="155"/>
      <c r="N121" s="155"/>
      <c r="O121" s="217"/>
      <c r="P121" s="230"/>
      <c r="Q121" s="155"/>
      <c r="R121" s="155"/>
      <c r="S121" s="155" t="s">
        <v>644</v>
      </c>
      <c r="T121" s="155"/>
      <c r="U121" s="231"/>
      <c r="V121" s="229"/>
    </row>
    <row r="122" spans="1:25" x14ac:dyDescent="0.25">
      <c r="A122" s="155"/>
      <c r="B122" s="155"/>
      <c r="C122" s="155"/>
      <c r="D122" s="155"/>
      <c r="E122" s="155"/>
      <c r="F122" s="155" t="s">
        <v>278</v>
      </c>
      <c r="G122" s="172" t="s">
        <v>612</v>
      </c>
      <c r="H122" s="171"/>
      <c r="I122" s="155"/>
      <c r="J122" s="155"/>
      <c r="K122" s="155"/>
      <c r="L122" s="155"/>
      <c r="M122" s="155"/>
      <c r="N122" s="155"/>
      <c r="O122" s="217"/>
      <c r="P122" s="230"/>
      <c r="Q122" s="155"/>
      <c r="R122" s="155"/>
      <c r="S122" s="155" t="s">
        <v>644</v>
      </c>
      <c r="T122" s="155"/>
      <c r="U122" s="231"/>
      <c r="V122" s="229"/>
    </row>
    <row r="123" spans="1:25" x14ac:dyDescent="0.25">
      <c r="A123" s="155"/>
      <c r="B123" s="155"/>
      <c r="C123" s="155"/>
      <c r="D123" s="155"/>
      <c r="E123" s="155"/>
      <c r="F123" s="155" t="s">
        <v>295</v>
      </c>
      <c r="G123" s="172" t="s">
        <v>862</v>
      </c>
      <c r="H123" s="171"/>
      <c r="I123" s="155"/>
      <c r="J123" s="155"/>
      <c r="K123" s="155"/>
      <c r="L123" s="155"/>
      <c r="M123" s="155"/>
      <c r="N123" s="155"/>
      <c r="O123" s="217"/>
      <c r="P123" s="230"/>
      <c r="Q123" s="155"/>
      <c r="R123" s="155"/>
      <c r="S123" s="155"/>
      <c r="T123" s="155" t="s">
        <v>644</v>
      </c>
      <c r="U123" s="231"/>
      <c r="V123" s="229"/>
    </row>
    <row r="124" spans="1:25" ht="45" x14ac:dyDescent="0.25">
      <c r="A124" s="158" t="s">
        <v>25</v>
      </c>
      <c r="B124" s="158" t="s">
        <v>309</v>
      </c>
      <c r="C124" s="158"/>
      <c r="D124" s="158" t="s">
        <v>624</v>
      </c>
      <c r="E124" s="158"/>
      <c r="F124" s="158" t="s">
        <v>290</v>
      </c>
      <c r="G124" s="172" t="s">
        <v>621</v>
      </c>
      <c r="H124" s="171"/>
      <c r="I124" s="155"/>
      <c r="J124" s="155"/>
      <c r="K124" s="155"/>
      <c r="L124" s="155">
        <v>1</v>
      </c>
      <c r="M124" s="155">
        <v>4</v>
      </c>
      <c r="N124" s="155"/>
      <c r="O124" s="217"/>
      <c r="P124" s="230"/>
      <c r="Q124" s="155"/>
      <c r="R124" s="155"/>
      <c r="S124" s="155" t="s">
        <v>644</v>
      </c>
      <c r="T124" s="155"/>
      <c r="U124" s="231"/>
      <c r="V124" s="229"/>
    </row>
    <row r="125" spans="1:25" x14ac:dyDescent="0.25">
      <c r="A125" s="158"/>
      <c r="B125" s="158"/>
      <c r="C125" s="158"/>
      <c r="D125" s="158"/>
      <c r="E125" s="158"/>
      <c r="F125" s="158" t="s">
        <v>291</v>
      </c>
      <c r="G125" s="263"/>
      <c r="H125" s="171"/>
      <c r="I125" s="155"/>
      <c r="J125" s="155"/>
      <c r="K125" s="155"/>
      <c r="L125" s="155"/>
      <c r="M125" s="155"/>
      <c r="N125" s="155"/>
      <c r="O125" s="217"/>
      <c r="P125" s="230"/>
      <c r="Q125" s="155"/>
      <c r="R125" s="155"/>
      <c r="S125" s="155"/>
      <c r="T125" s="155"/>
      <c r="U125" s="231"/>
      <c r="V125" s="229"/>
    </row>
    <row r="126" spans="1:25" x14ac:dyDescent="0.25">
      <c r="A126" s="158"/>
      <c r="B126" s="158"/>
      <c r="C126" s="158"/>
      <c r="D126" s="158"/>
      <c r="E126" s="158"/>
      <c r="F126" s="158" t="s">
        <v>278</v>
      </c>
      <c r="G126" s="263" t="s">
        <v>612</v>
      </c>
      <c r="H126" s="171"/>
      <c r="I126" s="155"/>
      <c r="J126" s="155"/>
      <c r="K126" s="155"/>
      <c r="L126" s="155"/>
      <c r="M126" s="155"/>
      <c r="N126" s="155"/>
      <c r="O126" s="217"/>
      <c r="P126" s="230"/>
      <c r="Q126" s="155"/>
      <c r="R126" s="155"/>
      <c r="S126" s="155" t="s">
        <v>644</v>
      </c>
      <c r="T126" s="155"/>
      <c r="U126" s="231"/>
      <c r="V126" s="229"/>
    </row>
    <row r="127" spans="1:25" x14ac:dyDescent="0.25">
      <c r="A127" s="158"/>
      <c r="B127" s="158"/>
      <c r="C127" s="158"/>
      <c r="D127" s="158"/>
      <c r="E127" s="158"/>
      <c r="F127" s="158" t="s">
        <v>284</v>
      </c>
      <c r="G127" s="263" t="s">
        <v>330</v>
      </c>
      <c r="H127" s="171"/>
      <c r="I127" s="155"/>
      <c r="J127" s="155"/>
      <c r="K127" s="155"/>
      <c r="L127" s="155"/>
      <c r="M127" s="155"/>
      <c r="N127" s="155"/>
      <c r="O127" s="217"/>
      <c r="P127" s="230"/>
      <c r="Q127" s="155"/>
      <c r="R127" s="155"/>
      <c r="S127" s="155" t="s">
        <v>644</v>
      </c>
      <c r="T127" s="155"/>
      <c r="U127" s="231"/>
      <c r="V127" s="229"/>
    </row>
    <row r="128" spans="1:25" x14ac:dyDescent="0.25">
      <c r="A128" s="158"/>
      <c r="B128" s="158"/>
      <c r="C128" s="158"/>
      <c r="D128" s="158"/>
      <c r="E128" s="158"/>
      <c r="F128" s="158" t="s">
        <v>310</v>
      </c>
      <c r="G128" s="263" t="s">
        <v>863</v>
      </c>
      <c r="H128" s="171"/>
      <c r="I128" s="155"/>
      <c r="J128" s="155"/>
      <c r="K128" s="155"/>
      <c r="L128" s="155"/>
      <c r="M128" s="155"/>
      <c r="N128" s="155"/>
      <c r="O128" s="217"/>
      <c r="P128" s="230"/>
      <c r="Q128" s="155"/>
      <c r="R128" s="155"/>
      <c r="S128" s="155"/>
      <c r="T128" s="155" t="s">
        <v>644</v>
      </c>
      <c r="U128" s="231"/>
      <c r="V128" s="229"/>
    </row>
    <row r="129" spans="1:22" ht="30" x14ac:dyDescent="0.25">
      <c r="A129" s="155" t="s">
        <v>25</v>
      </c>
      <c r="B129" s="155" t="s">
        <v>400</v>
      </c>
      <c r="C129" s="155"/>
      <c r="D129" s="155" t="s">
        <v>876</v>
      </c>
      <c r="E129" s="155" t="str">
        <f>PGI!D55</f>
        <v>Methanesulfonic acid</v>
      </c>
      <c r="F129" s="155" t="s">
        <v>274</v>
      </c>
      <c r="G129" s="172">
        <f>PGI!U55</f>
        <v>1.1585787519570567</v>
      </c>
      <c r="H129" s="171"/>
      <c r="I129" s="155" t="s">
        <v>627</v>
      </c>
      <c r="J129" s="155"/>
      <c r="K129" s="155"/>
      <c r="L129" s="155">
        <v>2</v>
      </c>
      <c r="M129" s="155">
        <v>4</v>
      </c>
      <c r="N129" s="155"/>
      <c r="O129" s="217"/>
      <c r="P129" s="230"/>
      <c r="Q129" s="155"/>
      <c r="R129" s="155"/>
      <c r="S129" s="155" t="s">
        <v>644</v>
      </c>
      <c r="T129" s="155"/>
      <c r="U129" s="231"/>
      <c r="V129" s="229" t="s">
        <v>441</v>
      </c>
    </row>
    <row r="130" spans="1:22" x14ac:dyDescent="0.25">
      <c r="A130" s="155"/>
      <c r="B130" s="155"/>
      <c r="C130" s="155"/>
      <c r="D130" s="155"/>
      <c r="E130" s="155" t="str">
        <f>PGI!D56</f>
        <v>Water</v>
      </c>
      <c r="F130" s="155" t="s">
        <v>274</v>
      </c>
      <c r="G130" s="172">
        <f>PGI!U56</f>
        <v>1.1585787519570567</v>
      </c>
      <c r="H130" s="171"/>
      <c r="I130" s="155"/>
      <c r="J130" s="155"/>
      <c r="K130" s="155"/>
      <c r="L130" s="155"/>
      <c r="M130" s="155"/>
      <c r="N130" s="155"/>
      <c r="O130" s="217"/>
      <c r="P130" s="230"/>
      <c r="Q130" s="155"/>
      <c r="R130" s="155"/>
      <c r="S130" s="155"/>
      <c r="T130" s="155"/>
      <c r="U130" s="231"/>
      <c r="V130" s="229"/>
    </row>
    <row r="131" spans="1:22" x14ac:dyDescent="0.25">
      <c r="A131" s="155"/>
      <c r="B131" s="155"/>
      <c r="C131" s="155"/>
      <c r="D131" s="155"/>
      <c r="E131" s="155"/>
      <c r="F131" s="155" t="s">
        <v>290</v>
      </c>
      <c r="G131" s="172" t="s">
        <v>323</v>
      </c>
      <c r="H131" s="171"/>
      <c r="I131" s="155"/>
      <c r="J131" s="155"/>
      <c r="K131" s="155"/>
      <c r="L131" s="155"/>
      <c r="M131" s="155"/>
      <c r="N131" s="155"/>
      <c r="O131" s="217"/>
      <c r="P131" s="230"/>
      <c r="Q131" s="155"/>
      <c r="R131" s="155"/>
      <c r="S131" s="155"/>
      <c r="T131" s="155" t="s">
        <v>644</v>
      </c>
      <c r="U131" s="231"/>
      <c r="V131" s="229"/>
    </row>
    <row r="132" spans="1:22" x14ac:dyDescent="0.25">
      <c r="A132" s="155"/>
      <c r="B132" s="155"/>
      <c r="C132" s="155"/>
      <c r="D132" s="155"/>
      <c r="E132" s="155"/>
      <c r="F132" s="155" t="s">
        <v>277</v>
      </c>
      <c r="G132" s="172" t="s">
        <v>326</v>
      </c>
      <c r="H132" s="171"/>
      <c r="I132" s="155"/>
      <c r="J132" s="155"/>
      <c r="K132" s="155"/>
      <c r="L132" s="155"/>
      <c r="M132" s="155"/>
      <c r="N132" s="155"/>
      <c r="O132" s="217"/>
      <c r="P132" s="230"/>
      <c r="Q132" s="155"/>
      <c r="R132" s="155"/>
      <c r="S132" s="155" t="s">
        <v>644</v>
      </c>
      <c r="T132" s="155"/>
      <c r="U132" s="231"/>
      <c r="V132" s="229"/>
    </row>
    <row r="133" spans="1:22" x14ac:dyDescent="0.25">
      <c r="A133" s="155"/>
      <c r="B133" s="155"/>
      <c r="C133" s="155"/>
      <c r="D133" s="155"/>
      <c r="E133" s="155"/>
      <c r="F133" s="155" t="s">
        <v>278</v>
      </c>
      <c r="G133" s="172" t="s">
        <v>305</v>
      </c>
      <c r="H133" s="171"/>
      <c r="I133" s="155"/>
      <c r="J133" s="155"/>
      <c r="K133" s="155"/>
      <c r="L133" s="155"/>
      <c r="M133" s="155"/>
      <c r="N133" s="155"/>
      <c r="O133" s="217"/>
      <c r="P133" s="230"/>
      <c r="Q133" s="155"/>
      <c r="R133" s="155"/>
      <c r="S133" s="155" t="s">
        <v>644</v>
      </c>
      <c r="T133" s="155"/>
      <c r="U133" s="231"/>
      <c r="V133" s="229"/>
    </row>
    <row r="134" spans="1:22" x14ac:dyDescent="0.25">
      <c r="A134" s="155"/>
      <c r="B134" s="155"/>
      <c r="C134" s="155"/>
      <c r="D134" s="155"/>
      <c r="E134" s="155"/>
      <c r="F134" s="155" t="s">
        <v>279</v>
      </c>
      <c r="G134" s="172" t="s">
        <v>318</v>
      </c>
      <c r="H134" s="171"/>
      <c r="I134" s="155"/>
      <c r="J134" s="155"/>
      <c r="K134" s="155"/>
      <c r="L134" s="155"/>
      <c r="M134" s="155"/>
      <c r="N134" s="155"/>
      <c r="O134" s="217"/>
      <c r="P134" s="230"/>
      <c r="Q134" s="155"/>
      <c r="R134" s="155"/>
      <c r="S134" s="155"/>
      <c r="T134" s="155" t="s">
        <v>644</v>
      </c>
      <c r="U134" s="231"/>
      <c r="V134" s="229"/>
    </row>
    <row r="135" spans="1:22" ht="30" x14ac:dyDescent="0.25">
      <c r="A135" s="158" t="s">
        <v>25</v>
      </c>
      <c r="B135" s="158" t="s">
        <v>309</v>
      </c>
      <c r="C135" s="158"/>
      <c r="D135" s="158" t="s">
        <v>625</v>
      </c>
      <c r="E135" s="158"/>
      <c r="F135" s="158" t="s">
        <v>290</v>
      </c>
      <c r="G135" s="172" t="s">
        <v>621</v>
      </c>
      <c r="H135" s="171"/>
      <c r="I135" s="155"/>
      <c r="J135" s="155"/>
      <c r="K135" s="155"/>
      <c r="L135" s="155">
        <v>1</v>
      </c>
      <c r="M135" s="155">
        <v>4</v>
      </c>
      <c r="N135" s="155"/>
      <c r="O135" s="217"/>
      <c r="P135" s="230"/>
      <c r="Q135" s="155"/>
      <c r="R135" s="155"/>
      <c r="S135" s="155" t="s">
        <v>644</v>
      </c>
      <c r="T135" s="155"/>
      <c r="U135" s="231"/>
      <c r="V135" s="229"/>
    </row>
    <row r="136" spans="1:22" x14ac:dyDescent="0.25">
      <c r="A136" s="158"/>
      <c r="B136" s="158"/>
      <c r="C136" s="158"/>
      <c r="D136" s="158"/>
      <c r="E136" s="158"/>
      <c r="F136" s="158" t="s">
        <v>291</v>
      </c>
      <c r="G136" s="263"/>
      <c r="H136" s="171"/>
      <c r="I136" s="155"/>
      <c r="J136" s="155"/>
      <c r="K136" s="155"/>
      <c r="L136" s="155"/>
      <c r="M136" s="155"/>
      <c r="N136" s="155"/>
      <c r="O136" s="217"/>
      <c r="P136" s="230"/>
      <c r="Q136" s="155"/>
      <c r="R136" s="155"/>
      <c r="S136" s="155"/>
      <c r="T136" s="155"/>
      <c r="U136" s="231"/>
      <c r="V136" s="229"/>
    </row>
    <row r="137" spans="1:22" x14ac:dyDescent="0.25">
      <c r="A137" s="158"/>
      <c r="B137" s="158"/>
      <c r="C137" s="158"/>
      <c r="D137" s="158"/>
      <c r="E137" s="158"/>
      <c r="F137" s="158" t="s">
        <v>278</v>
      </c>
      <c r="G137" s="263" t="s">
        <v>612</v>
      </c>
      <c r="H137" s="171"/>
      <c r="I137" s="155"/>
      <c r="J137" s="155"/>
      <c r="K137" s="155"/>
      <c r="L137" s="155"/>
      <c r="M137" s="155"/>
      <c r="N137" s="155"/>
      <c r="O137" s="217"/>
      <c r="P137" s="230"/>
      <c r="Q137" s="155"/>
      <c r="R137" s="155"/>
      <c r="S137" s="155" t="s">
        <v>644</v>
      </c>
      <c r="T137" s="155"/>
      <c r="U137" s="231"/>
      <c r="V137" s="229"/>
    </row>
    <row r="138" spans="1:22" ht="45" x14ac:dyDescent="0.25">
      <c r="A138" s="158"/>
      <c r="B138" s="158"/>
      <c r="C138" s="158"/>
      <c r="D138" s="158"/>
      <c r="E138" s="158"/>
      <c r="F138" s="158" t="s">
        <v>284</v>
      </c>
      <c r="G138" s="263" t="s">
        <v>626</v>
      </c>
      <c r="H138" s="171"/>
      <c r="I138" s="155"/>
      <c r="J138" s="155"/>
      <c r="K138" s="155"/>
      <c r="L138" s="155"/>
      <c r="M138" s="155"/>
      <c r="N138" s="155"/>
      <c r="O138" s="217"/>
      <c r="P138" s="230"/>
      <c r="Q138" s="155"/>
      <c r="R138" s="155"/>
      <c r="S138" s="155"/>
      <c r="T138" s="155" t="s">
        <v>644</v>
      </c>
      <c r="U138" s="231"/>
      <c r="V138" s="229"/>
    </row>
    <row r="139" spans="1:22" x14ac:dyDescent="0.25">
      <c r="A139" s="158"/>
      <c r="B139" s="158"/>
      <c r="C139" s="158"/>
      <c r="D139" s="158"/>
      <c r="E139" s="158"/>
      <c r="F139" s="158" t="s">
        <v>310</v>
      </c>
      <c r="G139" s="263" t="s">
        <v>863</v>
      </c>
      <c r="H139" s="171"/>
      <c r="I139" s="155"/>
      <c r="J139" s="155"/>
      <c r="K139" s="155"/>
      <c r="L139" s="155"/>
      <c r="M139" s="155"/>
      <c r="N139" s="155"/>
      <c r="O139" s="217"/>
      <c r="P139" s="230"/>
      <c r="Q139" s="155"/>
      <c r="R139" s="155"/>
      <c r="S139" s="155"/>
      <c r="T139" s="155"/>
      <c r="U139" s="231"/>
      <c r="V139" s="229"/>
    </row>
    <row r="140" spans="1:22" ht="30" x14ac:dyDescent="0.25">
      <c r="A140" s="158" t="s">
        <v>25</v>
      </c>
      <c r="B140" s="190" t="s">
        <v>662</v>
      </c>
      <c r="C140" s="175"/>
      <c r="D140" s="175" t="s">
        <v>549</v>
      </c>
      <c r="E140" s="175"/>
      <c r="F140" s="175" t="s">
        <v>550</v>
      </c>
      <c r="G140" s="263" t="s">
        <v>658</v>
      </c>
      <c r="H140" s="171"/>
      <c r="I140" s="155"/>
      <c r="J140" s="155"/>
      <c r="K140" s="155"/>
      <c r="L140" s="155">
        <v>2</v>
      </c>
      <c r="M140" s="155">
        <v>4</v>
      </c>
      <c r="N140" s="155"/>
      <c r="O140" s="217"/>
      <c r="P140" s="230"/>
      <c r="Q140" s="155"/>
      <c r="R140" s="155"/>
      <c r="S140" s="155"/>
      <c r="T140" s="155"/>
      <c r="U140" s="231"/>
      <c r="V140" s="229"/>
    </row>
    <row r="141" spans="1:22" x14ac:dyDescent="0.25">
      <c r="A141" s="175"/>
      <c r="B141" s="175"/>
      <c r="C141" s="175"/>
      <c r="D141" s="175"/>
      <c r="E141" s="175"/>
      <c r="F141" s="175" t="s">
        <v>551</v>
      </c>
      <c r="G141" s="263" t="s">
        <v>552</v>
      </c>
      <c r="H141" s="171"/>
      <c r="I141" s="155"/>
      <c r="J141" s="155"/>
      <c r="K141" s="155"/>
      <c r="L141" s="155"/>
      <c r="M141" s="155"/>
      <c r="N141" s="155"/>
      <c r="O141" s="217"/>
      <c r="P141" s="230"/>
      <c r="Q141" s="155"/>
      <c r="R141" s="155"/>
      <c r="S141" s="155"/>
      <c r="T141" s="155"/>
      <c r="U141" s="231"/>
      <c r="V141" s="229"/>
    </row>
    <row r="142" spans="1:22" x14ac:dyDescent="0.25">
      <c r="A142" s="155" t="s">
        <v>25</v>
      </c>
      <c r="B142" s="252" t="s">
        <v>808</v>
      </c>
      <c r="C142" s="252"/>
      <c r="D142" s="252"/>
      <c r="E142" s="252"/>
      <c r="F142" s="252" t="s">
        <v>809</v>
      </c>
      <c r="G142" s="263" t="s">
        <v>502</v>
      </c>
      <c r="H142" s="171"/>
      <c r="I142" s="155"/>
      <c r="J142" s="155"/>
      <c r="K142" s="155"/>
      <c r="L142" s="155"/>
      <c r="M142" s="155"/>
      <c r="N142" s="155"/>
      <c r="O142" s="217"/>
      <c r="P142" s="230"/>
      <c r="Q142" s="155"/>
      <c r="R142" s="155"/>
      <c r="S142" s="155"/>
      <c r="T142" s="155"/>
      <c r="U142" s="231"/>
      <c r="V142" s="229"/>
    </row>
    <row r="143" spans="1:22" x14ac:dyDescent="0.25">
      <c r="A143" s="175"/>
      <c r="B143" s="252"/>
      <c r="C143" s="252"/>
      <c r="D143" s="252"/>
      <c r="E143" s="252"/>
      <c r="F143" s="252" t="s">
        <v>810</v>
      </c>
      <c r="G143" s="263" t="s">
        <v>502</v>
      </c>
      <c r="H143" s="171"/>
      <c r="I143" s="155"/>
      <c r="J143" s="155"/>
      <c r="K143" s="155"/>
      <c r="L143" s="155"/>
      <c r="M143" s="155"/>
      <c r="N143" s="155"/>
      <c r="O143" s="217"/>
      <c r="P143" s="230"/>
      <c r="Q143" s="155"/>
      <c r="R143" s="155"/>
      <c r="S143" s="155"/>
      <c r="T143" s="155"/>
      <c r="U143" s="231"/>
      <c r="V143" s="229"/>
    </row>
    <row r="144" spans="1:22" x14ac:dyDescent="0.25">
      <c r="A144" s="175"/>
      <c r="B144" s="254"/>
      <c r="C144" s="158"/>
      <c r="D144" s="158"/>
      <c r="E144" s="158"/>
      <c r="F144" s="158" t="s">
        <v>811</v>
      </c>
      <c r="G144" s="263" t="s">
        <v>502</v>
      </c>
      <c r="H144" s="171"/>
      <c r="I144" s="155"/>
      <c r="J144" s="155"/>
      <c r="K144" s="155"/>
      <c r="L144" s="155"/>
      <c r="M144" s="155"/>
      <c r="N144" s="155"/>
      <c r="O144" s="217"/>
      <c r="P144" s="230"/>
      <c r="Q144" s="155"/>
      <c r="R144" s="155"/>
      <c r="S144" s="155"/>
      <c r="T144" s="155"/>
      <c r="U144" s="231"/>
      <c r="V144" s="229"/>
    </row>
  </sheetData>
  <mergeCells count="1">
    <mergeCell ref="P1:U1"/>
  </mergeCells>
  <conditionalFormatting sqref="D9:M12 D21:E21 B9:B12 B14:B17 B21 H21:I21 A88:M88 H44:M48 A49:M50 L89:M93 A109:M109 H104:M108 H124:M128 A110:F110 H110:M110 H135:M139 A55:M55 A57:M59 A56:F56 H56:M56 A94:M103 A120:F120 H120:M120 A121:M123 D14:M17 A129:M134 A111:M119 N53:V137 N138:O139 V138:V139 P138:U144">
    <cfRule type="expression" dxfId="283" priority="214">
      <formula>ISBLANK(A9)</formula>
    </cfRule>
  </conditionalFormatting>
  <conditionalFormatting sqref="N2:O2">
    <cfRule type="expression" dxfId="282" priority="215">
      <formula>IF(AND(AND(NOT(ISBLANK($F2)), $F2&lt;&gt;0),#REF!&lt;0), IF(#REF!="Daily",AND(#REF!&lt;=COLUMN()-COLUMN(#REF!), #REF!&gt;COLUMN()-COLUMN(#REF!)-1),AND(FLOOR(#REF!*24,1)&lt;=COLUMN()-COLUMN(#REF!),(#REF!*24)&gt;COLUMN()-COLUMN(#REF!))),"")</formula>
    </cfRule>
    <cfRule type="expression" dxfId="281" priority="216">
      <formula>IF(AND(AND(NOT(ISBLANK($F2)), $F2&lt;&gt;0),#REF!&gt;0), IF(#REF!="Daily",AND(#REF!&lt;=COLUMN()-COLUMN(#REF!), #REF!&gt;COLUMN()-COLUMN(#REF!)-1),AND(FLOOR(#REF!*24,1)&lt;=COLUMN()-COLUMN(#REF!),(#REF!*24)&gt;COLUMN()-COLUMN(#REF!))),"")</formula>
    </cfRule>
    <cfRule type="expression" dxfId="280" priority="217">
      <formula>IF(AND(AND(NOT(ISBLANK($F2)), $F2&lt;&gt;0),#REF!=0),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K9:M12">
    <cfRule type="expression" dxfId="279" priority="212">
      <formula>#REF!&lt;&gt;""</formula>
    </cfRule>
  </conditionalFormatting>
  <conditionalFormatting sqref="K14:M17">
    <cfRule type="expression" dxfId="278" priority="209">
      <formula>#REF!&lt;&gt;""</formula>
    </cfRule>
  </conditionalFormatting>
  <conditionalFormatting sqref="J21:M21">
    <cfRule type="expression" dxfId="277" priority="175">
      <formula>ISBLANK(J21)</formula>
    </cfRule>
  </conditionalFormatting>
  <conditionalFormatting sqref="A3:A13">
    <cfRule type="expression" dxfId="276" priority="162">
      <formula>ISBLANK(A3)</formula>
    </cfRule>
  </conditionalFormatting>
  <conditionalFormatting sqref="A3:A13 A44:M50 A109:M109 A104:E108 H104:M108 A124:E128 H124:M128 A110:F110 H110:M110 A135:E139 H135:M139 A53:M55 A57:M59 A56:F56 H56:M56 A88:M103 A120:F120 H120:M120 A121:M123 A142:G144 A129:M134 A111:M119 N53:V137 N138:O139 V138:V139 P138:U144">
    <cfRule type="expression" dxfId="275" priority="161">
      <formula>$A3&lt;&gt;""</formula>
    </cfRule>
  </conditionalFormatting>
  <conditionalFormatting sqref="A14:A17">
    <cfRule type="expression" dxfId="274" priority="160">
      <formula>ISBLANK(A14)</formula>
    </cfRule>
  </conditionalFormatting>
  <conditionalFormatting sqref="A14:A17">
    <cfRule type="expression" dxfId="273" priority="159">
      <formula>$A14&lt;&gt;""</formula>
    </cfRule>
  </conditionalFormatting>
  <conditionalFormatting sqref="A21">
    <cfRule type="expression" dxfId="272" priority="158">
      <formula>ISBLANK(A21)</formula>
    </cfRule>
  </conditionalFormatting>
  <conditionalFormatting sqref="A21">
    <cfRule type="expression" dxfId="271" priority="157">
      <formula>$A21&lt;&gt;""</formula>
    </cfRule>
  </conditionalFormatting>
  <conditionalFormatting sqref="D9:J12 D21:E21 B9:B12 B14:B17 B21 H21:M21 D14:J17">
    <cfRule type="expression" dxfId="270" priority="222">
      <formula>#REF!&lt;&gt;""</formula>
    </cfRule>
  </conditionalFormatting>
  <conditionalFormatting sqref="C9:C12 C14:C17 C21">
    <cfRule type="expression" dxfId="269" priority="131">
      <formula>ISBLANK(C9)</formula>
    </cfRule>
  </conditionalFormatting>
  <conditionalFormatting sqref="C9:C12 C14:C17 C21">
    <cfRule type="expression" dxfId="268" priority="132">
      <formula>#REF!&lt;&gt;""</formula>
    </cfRule>
  </conditionalFormatting>
  <conditionalFormatting sqref="B8:M8">
    <cfRule type="expression" dxfId="267" priority="130">
      <formula>ISBLANK(B8)</formula>
    </cfRule>
  </conditionalFormatting>
  <conditionalFormatting sqref="B8:M8">
    <cfRule type="expression" dxfId="266" priority="129">
      <formula>$A8&lt;&gt;""</formula>
    </cfRule>
  </conditionalFormatting>
  <conditionalFormatting sqref="B13:M13">
    <cfRule type="expression" dxfId="265" priority="128">
      <formula>ISBLANK(B13)</formula>
    </cfRule>
  </conditionalFormatting>
  <conditionalFormatting sqref="B13:M13">
    <cfRule type="expression" dxfId="264" priority="127">
      <formula>$A13&lt;&gt;""</formula>
    </cfRule>
  </conditionalFormatting>
  <conditionalFormatting sqref="A18:E20 H18:M20">
    <cfRule type="expression" dxfId="263" priority="126">
      <formula>ISBLANK(A18)</formula>
    </cfRule>
  </conditionalFormatting>
  <conditionalFormatting sqref="A18:E20 H18:M20">
    <cfRule type="expression" dxfId="262" priority="125">
      <formula>$A18&lt;&gt;""</formula>
    </cfRule>
  </conditionalFormatting>
  <conditionalFormatting sqref="A29:M31 A22:E26 H22:M26 A27:C27 E27:M27 A28:E28 H28:M28 A33:M36 A32:F32 H32:M32">
    <cfRule type="expression" dxfId="261" priority="124">
      <formula>ISBLANK(A22)</formula>
    </cfRule>
  </conditionalFormatting>
  <conditionalFormatting sqref="A29:M31 A22:E26 H22:M26 A27:C27 E27:M27 A28:E28 H28:M28 A33:M36 A32:F32 H32:M32">
    <cfRule type="expression" dxfId="260" priority="123">
      <formula>$A22&lt;&gt;""</formula>
    </cfRule>
  </conditionalFormatting>
  <conditionalFormatting sqref="A37:M40 A42:M43 A41:F41 H41:M41 A51:F52 H51:M52 A53:M54 A80:M80">
    <cfRule type="expression" dxfId="259" priority="120">
      <formula>ISBLANK(A37)</formula>
    </cfRule>
  </conditionalFormatting>
  <conditionalFormatting sqref="A37:M40 A42:M43 A41:F41 H41:M41 A51:F52 H51:M52 A80:M80">
    <cfRule type="expression" dxfId="258" priority="119">
      <formula>$A37&lt;&gt;""</formula>
    </cfRule>
  </conditionalFormatting>
  <conditionalFormatting sqref="F18:G19 F21:G21 F20">
    <cfRule type="expression" dxfId="257" priority="118">
      <formula>ISBLANK(F18)</formula>
    </cfRule>
  </conditionalFormatting>
  <conditionalFormatting sqref="F18:G19 F21:G21 F20">
    <cfRule type="expression" dxfId="256" priority="117">
      <formula>$A18&lt;&gt;""</formula>
    </cfRule>
  </conditionalFormatting>
  <conditionalFormatting sqref="F22:G22 G23:G26">
    <cfRule type="expression" dxfId="255" priority="116">
      <formula>ISBLANK(F22)</formula>
    </cfRule>
  </conditionalFormatting>
  <conditionalFormatting sqref="F22:G22 G23:G26">
    <cfRule type="expression" dxfId="254" priority="115">
      <formula>$A22&lt;&gt;""</formula>
    </cfRule>
  </conditionalFormatting>
  <conditionalFormatting sqref="F23:F26">
    <cfRule type="expression" dxfId="253" priority="113">
      <formula>$A23&lt;&gt;""</formula>
    </cfRule>
  </conditionalFormatting>
  <conditionalFormatting sqref="F23:F26 A44:G48 A89:K93">
    <cfRule type="expression" dxfId="252" priority="114">
      <formula>ISBLANK(A23)</formula>
    </cfRule>
  </conditionalFormatting>
  <conditionalFormatting sqref="D27">
    <cfRule type="expression" dxfId="251" priority="111">
      <formula>$A27&lt;&gt;""</formula>
    </cfRule>
  </conditionalFormatting>
  <conditionalFormatting sqref="D27">
    <cfRule type="expression" dxfId="250" priority="112">
      <formula>ISBLANK(D27)</formula>
    </cfRule>
  </conditionalFormatting>
  <conditionalFormatting sqref="F28">
    <cfRule type="expression" dxfId="249" priority="109">
      <formula>$A28&lt;&gt;""</formula>
    </cfRule>
  </conditionalFormatting>
  <conditionalFormatting sqref="F28">
    <cfRule type="expression" dxfId="248" priority="110">
      <formula>ISBLANK(F28)</formula>
    </cfRule>
  </conditionalFormatting>
  <conditionalFormatting sqref="G28">
    <cfRule type="expression" dxfId="247" priority="108">
      <formula>ISBLANK(G28)</formula>
    </cfRule>
  </conditionalFormatting>
  <conditionalFormatting sqref="G28">
    <cfRule type="expression" dxfId="246" priority="107">
      <formula>$A28&lt;&gt;""</formula>
    </cfRule>
  </conditionalFormatting>
  <conditionalFormatting sqref="G32">
    <cfRule type="expression" dxfId="245" priority="106">
      <formula>ISBLANK(G32)</formula>
    </cfRule>
  </conditionalFormatting>
  <conditionalFormatting sqref="G32">
    <cfRule type="expression" dxfId="244" priority="105">
      <formula>$A32&lt;&gt;""</formula>
    </cfRule>
  </conditionalFormatting>
  <conditionalFormatting sqref="G41">
    <cfRule type="expression" dxfId="243" priority="104">
      <formula>ISBLANK(G41)</formula>
    </cfRule>
  </conditionalFormatting>
  <conditionalFormatting sqref="G41">
    <cfRule type="expression" dxfId="242" priority="103">
      <formula>$A41&lt;&gt;""</formula>
    </cfRule>
  </conditionalFormatting>
  <conditionalFormatting sqref="G51">
    <cfRule type="expression" dxfId="241" priority="96">
      <formula>ISBLANK(G51)</formula>
    </cfRule>
  </conditionalFormatting>
  <conditionalFormatting sqref="G51">
    <cfRule type="expression" dxfId="240" priority="95">
      <formula>$A51&lt;&gt;""</formula>
    </cfRule>
  </conditionalFormatting>
  <conditionalFormatting sqref="G52">
    <cfRule type="expression" dxfId="239" priority="94">
      <formula>ISBLANK(G52)</formula>
    </cfRule>
  </conditionalFormatting>
  <conditionalFormatting sqref="G52">
    <cfRule type="expression" dxfId="238" priority="93">
      <formula>$A52&lt;&gt;""</formula>
    </cfRule>
  </conditionalFormatting>
  <conditionalFormatting sqref="A66:M69 A65:D65 F65:M65 A71:M74 A70:D70 F70:M70 A76:M79 A75:D75 F75:M75">
    <cfRule type="expression" dxfId="237" priority="84">
      <formula>ISBLANK(A65)</formula>
    </cfRule>
  </conditionalFormatting>
  <conditionalFormatting sqref="A66:M69 A65:D65 F65:M65 A71:M74 A70:D70 F70:M70 A76:M79 A75:D75 F75:M75">
    <cfRule type="expression" dxfId="236" priority="83">
      <formula>$A65&lt;&gt;""</formula>
    </cfRule>
  </conditionalFormatting>
  <conditionalFormatting sqref="A83:M87 A81:D82 F81:M82">
    <cfRule type="expression" dxfId="235" priority="82">
      <formula>ISBLANK(A81)</formula>
    </cfRule>
  </conditionalFormatting>
  <conditionalFormatting sqref="A83:M87 A81:D82 F81:M82">
    <cfRule type="expression" dxfId="234" priority="81">
      <formula>$A81&lt;&gt;""</formula>
    </cfRule>
  </conditionalFormatting>
  <conditionalFormatting sqref="E65">
    <cfRule type="expression" dxfId="233" priority="80">
      <formula>ISBLANK(E65)</formula>
    </cfRule>
  </conditionalFormatting>
  <conditionalFormatting sqref="E65">
    <cfRule type="expression" dxfId="232" priority="79">
      <formula>$A65&lt;&gt;""</formula>
    </cfRule>
  </conditionalFormatting>
  <conditionalFormatting sqref="E81:E82">
    <cfRule type="expression" dxfId="231" priority="78">
      <formula>ISBLANK(E81)</formula>
    </cfRule>
  </conditionalFormatting>
  <conditionalFormatting sqref="E81:E82">
    <cfRule type="expression" dxfId="230" priority="77">
      <formula>$A81&lt;&gt;""</formula>
    </cfRule>
  </conditionalFormatting>
  <conditionalFormatting sqref="D4:M7 B4:B7">
    <cfRule type="expression" dxfId="229" priority="75">
      <formula>ISBLANK(B4)</formula>
    </cfRule>
  </conditionalFormatting>
  <conditionalFormatting sqref="K4:M7">
    <cfRule type="expression" dxfId="228" priority="74">
      <formula>#REF!&lt;&gt;""</formula>
    </cfRule>
  </conditionalFormatting>
  <conditionalFormatting sqref="D4:J7 B4:B7">
    <cfRule type="expression" dxfId="227" priority="76">
      <formula>#REF!&lt;&gt;""</formula>
    </cfRule>
  </conditionalFormatting>
  <conditionalFormatting sqref="C4:C7">
    <cfRule type="expression" dxfId="226" priority="72">
      <formula>ISBLANK(C4)</formula>
    </cfRule>
  </conditionalFormatting>
  <conditionalFormatting sqref="C4:C7">
    <cfRule type="expression" dxfId="225" priority="73">
      <formula>#REF!&lt;&gt;""</formula>
    </cfRule>
  </conditionalFormatting>
  <conditionalFormatting sqref="B3:M3 N3:V51 N52:U52">
    <cfRule type="expression" dxfId="224" priority="71">
      <formula>ISBLANK(B3)</formula>
    </cfRule>
  </conditionalFormatting>
  <conditionalFormatting sqref="B3:M3 N3:V51 N52:U52">
    <cfRule type="expression" dxfId="223" priority="70">
      <formula>$A3&lt;&gt;""</formula>
    </cfRule>
  </conditionalFormatting>
  <conditionalFormatting sqref="A60:M64">
    <cfRule type="expression" dxfId="222" priority="67">
      <formula>ISBLANK(A60)</formula>
    </cfRule>
  </conditionalFormatting>
  <conditionalFormatting sqref="A60:M64">
    <cfRule type="expression" dxfId="221" priority="66">
      <formula>$A60&lt;&gt;""</formula>
    </cfRule>
  </conditionalFormatting>
  <conditionalFormatting sqref="A105:G108 A104:F104">
    <cfRule type="expression" dxfId="220" priority="62">
      <formula>ISBLANK(A104)</formula>
    </cfRule>
  </conditionalFormatting>
  <conditionalFormatting sqref="F105:G108 F104">
    <cfRule type="expression" dxfId="219" priority="59">
      <formula>$A104&lt;&gt;""</formula>
    </cfRule>
  </conditionalFormatting>
  <conditionalFormatting sqref="A125:G127 A128:F128 A124:F124">
    <cfRule type="expression" dxfId="218" priority="58">
      <formula>ISBLANK(A124)</formula>
    </cfRule>
  </conditionalFormatting>
  <conditionalFormatting sqref="F125:G127 F128 F124">
    <cfRule type="expression" dxfId="217" priority="57">
      <formula>$A124&lt;&gt;""</formula>
    </cfRule>
  </conditionalFormatting>
  <conditionalFormatting sqref="A136:G139 A135:F135">
    <cfRule type="expression" dxfId="216" priority="54">
      <formula>ISBLANK(A135)</formula>
    </cfRule>
  </conditionalFormatting>
  <conditionalFormatting sqref="F136:G139 F135">
    <cfRule type="expression" dxfId="215" priority="53">
      <formula>$A135&lt;&gt;""</formula>
    </cfRule>
  </conditionalFormatting>
  <conditionalFormatting sqref="G128">
    <cfRule type="expression" dxfId="214" priority="52">
      <formula>ISBLANK(G128)</formula>
    </cfRule>
  </conditionalFormatting>
  <conditionalFormatting sqref="G128">
    <cfRule type="expression" dxfId="213" priority="51">
      <formula>$A128&lt;&gt;""</formula>
    </cfRule>
  </conditionalFormatting>
  <conditionalFormatting sqref="P1:R2">
    <cfRule type="containsText" dxfId="212" priority="49" operator="containsText" text="x">
      <formula>NOT(ISERROR(SEARCH("x",P1)))</formula>
    </cfRule>
  </conditionalFormatting>
  <conditionalFormatting sqref="A143:G144 B142:G142">
    <cfRule type="expression" dxfId="211" priority="46">
      <formula>ISBLANK(A142)</formula>
    </cfRule>
  </conditionalFormatting>
  <conditionalFormatting sqref="A143:A144 F142:G144">
    <cfRule type="expression" dxfId="210" priority="44">
      <formula>ISBLANK(A142)</formula>
    </cfRule>
  </conditionalFormatting>
  <conditionalFormatting sqref="G142:G144">
    <cfRule type="expression" dxfId="209" priority="42">
      <formula>ISBLANK(G142)</formula>
    </cfRule>
  </conditionalFormatting>
  <conditionalFormatting sqref="A142">
    <cfRule type="expression" dxfId="208" priority="41">
      <formula>ISBLANK(A142)</formula>
    </cfRule>
  </conditionalFormatting>
  <conditionalFormatting sqref="G20">
    <cfRule type="expression" dxfId="207" priority="39">
      <formula>ISBLANK(G20)</formula>
    </cfRule>
  </conditionalFormatting>
  <conditionalFormatting sqref="G20">
    <cfRule type="expression" dxfId="206" priority="38">
      <formula>$A20&lt;&gt;""</formula>
    </cfRule>
  </conditionalFormatting>
  <conditionalFormatting sqref="G20">
    <cfRule type="expression" dxfId="205" priority="37">
      <formula>ISBLANK(G20)</formula>
    </cfRule>
  </conditionalFormatting>
  <conditionalFormatting sqref="V52">
    <cfRule type="expression" dxfId="204" priority="36">
      <formula>ISBLANK(V52)</formula>
    </cfRule>
  </conditionalFormatting>
  <conditionalFormatting sqref="V52">
    <cfRule type="expression" dxfId="203" priority="35">
      <formula>$A52&lt;&gt;""</formula>
    </cfRule>
  </conditionalFormatting>
  <conditionalFormatting sqref="V52">
    <cfRule type="expression" dxfId="202" priority="34">
      <formula>ISBLANK(V52)</formula>
    </cfRule>
  </conditionalFormatting>
  <conditionalFormatting sqref="G56">
    <cfRule type="expression" dxfId="201" priority="33">
      <formula>ISBLANK(G56)</formula>
    </cfRule>
  </conditionalFormatting>
  <conditionalFormatting sqref="G56">
    <cfRule type="expression" dxfId="200" priority="32">
      <formula>$A56&lt;&gt;""</formula>
    </cfRule>
  </conditionalFormatting>
  <conditionalFormatting sqref="G104">
    <cfRule type="expression" dxfId="199" priority="31">
      <formula>ISBLANK(G104)</formula>
    </cfRule>
  </conditionalFormatting>
  <conditionalFormatting sqref="G104">
    <cfRule type="expression" dxfId="198" priority="30">
      <formula>$A104&lt;&gt;""</formula>
    </cfRule>
  </conditionalFormatting>
  <conditionalFormatting sqref="G124 G110">
    <cfRule type="expression" dxfId="197" priority="29">
      <formula>ISBLANK(G110)</formula>
    </cfRule>
  </conditionalFormatting>
  <conditionalFormatting sqref="G124 G110">
    <cfRule type="expression" dxfId="196" priority="28">
      <formula>$A110&lt;&gt;""</formula>
    </cfRule>
  </conditionalFormatting>
  <conditionalFormatting sqref="G120">
    <cfRule type="expression" dxfId="195" priority="21">
      <formula>ISBLANK(G120)</formula>
    </cfRule>
  </conditionalFormatting>
  <conditionalFormatting sqref="G120">
    <cfRule type="expression" dxfId="194" priority="20">
      <formula>$A120&lt;&gt;""</formula>
    </cfRule>
  </conditionalFormatting>
  <conditionalFormatting sqref="A141:G141 B140:G140">
    <cfRule type="expression" dxfId="193" priority="19">
      <formula>$A140&lt;&gt;""</formula>
    </cfRule>
  </conditionalFormatting>
  <conditionalFormatting sqref="A141:G141 B140:G140">
    <cfRule type="expression" dxfId="192" priority="18">
      <formula>ISBLANK(A140)</formula>
    </cfRule>
  </conditionalFormatting>
  <conditionalFormatting sqref="D140:D141">
    <cfRule type="expression" dxfId="191" priority="17">
      <formula>ISBLANK(D140)</formula>
    </cfRule>
  </conditionalFormatting>
  <conditionalFormatting sqref="F140:F141">
    <cfRule type="expression" dxfId="190" priority="16">
      <formula>ISBLANK(F140)</formula>
    </cfRule>
  </conditionalFormatting>
  <conditionalFormatting sqref="G140:G141">
    <cfRule type="expression" dxfId="189" priority="14">
      <formula>ISBLANK(G140)</formula>
    </cfRule>
    <cfRule type="expression" dxfId="188" priority="15">
      <formula>$A140&lt;&gt;""</formula>
    </cfRule>
  </conditionalFormatting>
  <conditionalFormatting sqref="G135">
    <cfRule type="expression" dxfId="187" priority="10">
      <formula>ISBLANK(G135)</formula>
    </cfRule>
  </conditionalFormatting>
  <conditionalFormatting sqref="G135">
    <cfRule type="expression" dxfId="186" priority="9">
      <formula>$A135&lt;&gt;""</formula>
    </cfRule>
  </conditionalFormatting>
  <conditionalFormatting sqref="E70">
    <cfRule type="expression" dxfId="185" priority="8">
      <formula>ISBLANK(E70)</formula>
    </cfRule>
  </conditionalFormatting>
  <conditionalFormatting sqref="E70">
    <cfRule type="expression" dxfId="184" priority="7">
      <formula>$A70&lt;&gt;""</formula>
    </cfRule>
  </conditionalFormatting>
  <conditionalFormatting sqref="E75">
    <cfRule type="expression" dxfId="183" priority="6">
      <formula>ISBLANK(E75)</formula>
    </cfRule>
  </conditionalFormatting>
  <conditionalFormatting sqref="E75">
    <cfRule type="expression" dxfId="182" priority="5">
      <formula>$A75&lt;&gt;""</formula>
    </cfRule>
  </conditionalFormatting>
  <conditionalFormatting sqref="H140:O144 V140:V144">
    <cfRule type="expression" dxfId="181" priority="4">
      <formula>ISBLANK(H140)</formula>
    </cfRule>
  </conditionalFormatting>
  <conditionalFormatting sqref="H140:O144 V140:V144">
    <cfRule type="expression" dxfId="180" priority="3">
      <formula>$A140&lt;&gt;""</formula>
    </cfRule>
  </conditionalFormatting>
  <conditionalFormatting sqref="A140">
    <cfRule type="expression" dxfId="179" priority="2">
      <formula>$A140&lt;&gt;""</formula>
    </cfRule>
  </conditionalFormatting>
  <conditionalFormatting sqref="A140">
    <cfRule type="expression" dxfId="178" priority="1">
      <formula>ISBLANK(A140)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CDE2-B618-4623-9D2D-3A0D583C3158}">
  <dimension ref="A1:AA124"/>
  <sheetViews>
    <sheetView topLeftCell="A111" zoomScale="115" zoomScaleNormal="115" workbookViewId="0">
      <selection activeCell="A123" sqref="A123:XFD124"/>
    </sheetView>
  </sheetViews>
  <sheetFormatPr defaultRowHeight="15" x14ac:dyDescent="0.25"/>
  <cols>
    <col min="2" max="2" width="21" customWidth="1"/>
    <col min="3" max="3" width="15.85546875" customWidth="1"/>
    <col min="4" max="4" width="27.140625" customWidth="1"/>
    <col min="5" max="5" width="13.28515625" customWidth="1"/>
    <col min="6" max="6" width="12.5703125" customWidth="1"/>
    <col min="7" max="7" width="18.7109375" customWidth="1"/>
    <col min="8" max="8" width="12" customWidth="1"/>
    <col min="9" max="9" width="13.85546875" customWidth="1"/>
    <col min="10" max="15" width="9.140625" hidden="1" customWidth="1"/>
    <col min="16" max="18" width="4.140625" customWidth="1"/>
    <col min="19" max="19" width="4.140625" hidden="1" customWidth="1"/>
    <col min="20" max="20" width="3" hidden="1" customWidth="1"/>
    <col min="21" max="21" width="2.85546875" hidden="1" customWidth="1"/>
    <col min="22" max="22" width="45.140625" customWidth="1"/>
  </cols>
  <sheetData>
    <row r="1" spans="1:22" ht="15.75" thickBot="1" x14ac:dyDescent="0.3">
      <c r="P1" s="316" t="s">
        <v>664</v>
      </c>
      <c r="Q1" s="316"/>
      <c r="R1" s="316"/>
      <c r="S1" s="316"/>
      <c r="T1" s="316"/>
      <c r="U1" s="316"/>
    </row>
    <row r="2" spans="1:22" ht="60" x14ac:dyDescent="0.25">
      <c r="B2" s="147" t="s">
        <v>380</v>
      </c>
      <c r="C2" s="148" t="s">
        <v>381</v>
      </c>
      <c r="D2" s="148" t="s">
        <v>261</v>
      </c>
      <c r="E2" s="148" t="s">
        <v>382</v>
      </c>
      <c r="F2" s="149" t="s">
        <v>383</v>
      </c>
      <c r="G2" s="147" t="s">
        <v>384</v>
      </c>
      <c r="H2" s="149" t="s">
        <v>265</v>
      </c>
      <c r="I2" s="150" t="s">
        <v>385</v>
      </c>
      <c r="J2" s="151" t="s">
        <v>386</v>
      </c>
      <c r="K2" s="151" t="s">
        <v>387</v>
      </c>
      <c r="L2" s="152" t="s">
        <v>388</v>
      </c>
      <c r="M2" s="152" t="s">
        <v>270</v>
      </c>
      <c r="N2" s="153" t="s">
        <v>389</v>
      </c>
      <c r="O2" s="216" t="s">
        <v>390</v>
      </c>
      <c r="P2" s="221" t="s">
        <v>665</v>
      </c>
      <c r="Q2" s="222" t="s">
        <v>666</v>
      </c>
      <c r="R2" s="222" t="s">
        <v>667</v>
      </c>
      <c r="S2" s="222" t="s">
        <v>668</v>
      </c>
      <c r="T2" s="222" t="s">
        <v>669</v>
      </c>
      <c r="U2" s="223" t="s">
        <v>670</v>
      </c>
      <c r="V2" s="232" t="s">
        <v>183</v>
      </c>
    </row>
    <row r="3" spans="1:22" ht="45" x14ac:dyDescent="0.25">
      <c r="A3" s="158" t="s">
        <v>34</v>
      </c>
      <c r="B3" s="158" t="s">
        <v>400</v>
      </c>
      <c r="C3" s="158" t="s">
        <v>400</v>
      </c>
      <c r="D3" s="158" t="s">
        <v>710</v>
      </c>
      <c r="E3" s="158" t="s">
        <v>484</v>
      </c>
      <c r="F3" s="158" t="s">
        <v>274</v>
      </c>
      <c r="G3" s="263">
        <v>330</v>
      </c>
      <c r="H3" s="171"/>
      <c r="I3" s="155" t="s">
        <v>442</v>
      </c>
      <c r="J3" s="155"/>
      <c r="K3" s="155"/>
      <c r="L3" s="155"/>
      <c r="M3" s="155"/>
      <c r="N3" s="155"/>
      <c r="O3" s="217"/>
      <c r="P3" s="230"/>
      <c r="Q3" s="155"/>
      <c r="R3" s="155"/>
      <c r="S3" s="155"/>
      <c r="T3" s="155"/>
      <c r="U3" s="231"/>
      <c r="V3" s="229"/>
    </row>
    <row r="4" spans="1:22" x14ac:dyDescent="0.25">
      <c r="B4" s="155"/>
      <c r="C4" s="155"/>
      <c r="D4" s="155"/>
      <c r="E4" s="155"/>
      <c r="F4" s="155" t="s">
        <v>290</v>
      </c>
      <c r="G4" s="155" t="s">
        <v>401</v>
      </c>
      <c r="H4" s="155"/>
      <c r="I4" s="155"/>
      <c r="J4" s="155"/>
      <c r="K4" s="155"/>
      <c r="L4" s="155"/>
      <c r="M4" s="155"/>
      <c r="N4" s="155"/>
      <c r="O4" s="217"/>
      <c r="P4" s="230"/>
      <c r="Q4" s="155"/>
      <c r="R4" s="155"/>
      <c r="S4" s="155"/>
      <c r="T4" s="155"/>
      <c r="U4" s="231"/>
      <c r="V4" s="229"/>
    </row>
    <row r="5" spans="1:22" x14ac:dyDescent="0.25">
      <c r="B5" s="155"/>
      <c r="C5" s="155"/>
      <c r="D5" s="155"/>
      <c r="E5" s="155"/>
      <c r="F5" s="155" t="s">
        <v>277</v>
      </c>
      <c r="G5" s="155" t="s">
        <v>401</v>
      </c>
      <c r="H5" s="155"/>
      <c r="I5" s="155"/>
      <c r="J5" s="155"/>
      <c r="K5" s="155"/>
      <c r="L5" s="155"/>
      <c r="M5" s="155"/>
      <c r="N5" s="155"/>
      <c r="O5" s="217"/>
      <c r="P5" s="230"/>
      <c r="Q5" s="155"/>
      <c r="R5" s="155"/>
      <c r="S5" s="155"/>
      <c r="T5" s="155"/>
      <c r="U5" s="231"/>
      <c r="V5" s="229"/>
    </row>
    <row r="6" spans="1:22" x14ac:dyDescent="0.25">
      <c r="B6" s="155"/>
      <c r="C6" s="155"/>
      <c r="D6" s="155"/>
      <c r="E6" s="155"/>
      <c r="F6" s="155" t="s">
        <v>278</v>
      </c>
      <c r="G6" s="155" t="s">
        <v>408</v>
      </c>
      <c r="H6" s="155"/>
      <c r="I6" s="155"/>
      <c r="J6" s="155"/>
      <c r="K6" s="155"/>
      <c r="L6" s="155"/>
      <c r="M6" s="155"/>
      <c r="N6" s="155"/>
      <c r="O6" s="217"/>
      <c r="P6" s="230"/>
      <c r="Q6" s="155"/>
      <c r="R6" s="155"/>
      <c r="S6" s="155"/>
      <c r="T6" s="155"/>
      <c r="U6" s="231"/>
      <c r="V6" s="229"/>
    </row>
    <row r="7" spans="1:22" ht="30" x14ac:dyDescent="0.25">
      <c r="B7" s="155"/>
      <c r="C7" s="155"/>
      <c r="D7" s="155"/>
      <c r="E7" s="155"/>
      <c r="F7" s="155" t="s">
        <v>279</v>
      </c>
      <c r="G7" s="155" t="s">
        <v>403</v>
      </c>
      <c r="H7" s="155"/>
      <c r="I7" s="155"/>
      <c r="J7" s="155"/>
      <c r="K7" s="155"/>
      <c r="L7" s="155"/>
      <c r="M7" s="155"/>
      <c r="N7" s="155"/>
      <c r="O7" s="217"/>
      <c r="P7" s="230"/>
      <c r="Q7" s="155"/>
      <c r="R7" s="155"/>
      <c r="S7" s="155"/>
      <c r="T7" s="155"/>
      <c r="U7" s="231"/>
      <c r="V7" s="229"/>
    </row>
    <row r="8" spans="1:22" ht="30" x14ac:dyDescent="0.25">
      <c r="A8" s="158" t="s">
        <v>34</v>
      </c>
      <c r="B8" s="155" t="s">
        <v>400</v>
      </c>
      <c r="C8" s="155" t="s">
        <v>400</v>
      </c>
      <c r="D8" s="155" t="s">
        <v>489</v>
      </c>
      <c r="E8" s="155" t="s">
        <v>443</v>
      </c>
      <c r="F8" s="155" t="s">
        <v>274</v>
      </c>
      <c r="G8" s="171">
        <f>3.7/37*G3</f>
        <v>33</v>
      </c>
      <c r="H8" s="172" t="e">
        <f>#REF!</f>
        <v>#REF!</v>
      </c>
      <c r="I8" s="155" t="s">
        <v>442</v>
      </c>
      <c r="J8" s="155"/>
      <c r="K8" s="155"/>
      <c r="L8" s="155"/>
      <c r="M8" s="155"/>
      <c r="N8" s="155"/>
      <c r="O8" s="217"/>
      <c r="P8" s="230"/>
      <c r="Q8" s="155"/>
      <c r="R8" s="155"/>
      <c r="S8" s="155"/>
      <c r="T8" s="155"/>
      <c r="U8" s="231"/>
      <c r="V8" s="229" t="s">
        <v>444</v>
      </c>
    </row>
    <row r="9" spans="1:22" x14ac:dyDescent="0.25">
      <c r="B9" s="155"/>
      <c r="C9" s="155"/>
      <c r="D9" s="155"/>
      <c r="E9" s="155"/>
      <c r="F9" s="155" t="s">
        <v>290</v>
      </c>
      <c r="G9" s="158" t="s">
        <v>401</v>
      </c>
      <c r="H9" s="160"/>
      <c r="I9" s="155"/>
      <c r="J9" s="155"/>
      <c r="K9" s="155"/>
      <c r="L9" s="155"/>
      <c r="M9" s="155"/>
      <c r="N9" s="155"/>
      <c r="O9" s="217"/>
      <c r="P9" s="230"/>
      <c r="Q9" s="155"/>
      <c r="R9" s="155"/>
      <c r="S9" s="155"/>
      <c r="T9" s="155"/>
      <c r="U9" s="231"/>
      <c r="V9" s="229"/>
    </row>
    <row r="10" spans="1:22" x14ac:dyDescent="0.25">
      <c r="B10" s="155"/>
      <c r="C10" s="155"/>
      <c r="D10" s="155"/>
      <c r="E10" s="155"/>
      <c r="F10" s="155" t="s">
        <v>277</v>
      </c>
      <c r="G10" s="158" t="s">
        <v>401</v>
      </c>
      <c r="H10" s="160"/>
      <c r="I10" s="155"/>
      <c r="J10" s="155"/>
      <c r="K10" s="155"/>
      <c r="L10" s="155"/>
      <c r="M10" s="155"/>
      <c r="N10" s="155"/>
      <c r="O10" s="217"/>
      <c r="P10" s="230"/>
      <c r="Q10" s="155"/>
      <c r="R10" s="155"/>
      <c r="S10" s="155"/>
      <c r="T10" s="155"/>
      <c r="U10" s="231"/>
      <c r="V10" s="229"/>
    </row>
    <row r="11" spans="1:22" x14ac:dyDescent="0.25">
      <c r="B11" s="155"/>
      <c r="C11" s="155"/>
      <c r="D11" s="155"/>
      <c r="E11" s="155"/>
      <c r="F11" s="155" t="s">
        <v>278</v>
      </c>
      <c r="G11" s="158" t="s">
        <v>408</v>
      </c>
      <c r="H11" s="160"/>
      <c r="I11" s="155"/>
      <c r="J11" s="155"/>
      <c r="K11" s="155"/>
      <c r="L11" s="155"/>
      <c r="M11" s="155"/>
      <c r="N11" s="155"/>
      <c r="O11" s="217"/>
      <c r="P11" s="230"/>
      <c r="Q11" s="155"/>
      <c r="R11" s="155"/>
      <c r="S11" s="155"/>
      <c r="T11" s="155"/>
      <c r="U11" s="231"/>
      <c r="V11" s="229"/>
    </row>
    <row r="12" spans="1:22" ht="30" x14ac:dyDescent="0.25">
      <c r="B12" s="155"/>
      <c r="C12" s="155"/>
      <c r="D12" s="155"/>
      <c r="E12" s="158"/>
      <c r="F12" s="155" t="s">
        <v>279</v>
      </c>
      <c r="G12" s="155" t="s">
        <v>403</v>
      </c>
      <c r="H12" s="155"/>
      <c r="I12" s="155"/>
      <c r="J12" s="155"/>
      <c r="K12" s="155"/>
      <c r="L12" s="155"/>
      <c r="M12" s="155"/>
      <c r="N12" s="155"/>
      <c r="O12" s="217"/>
      <c r="P12" s="230"/>
      <c r="Q12" s="155"/>
      <c r="R12" s="155"/>
      <c r="S12" s="155"/>
      <c r="T12" s="155"/>
      <c r="U12" s="231"/>
      <c r="V12" s="229"/>
    </row>
    <row r="13" spans="1:22" ht="30" x14ac:dyDescent="0.25">
      <c r="A13" s="158" t="s">
        <v>34</v>
      </c>
      <c r="B13" s="155" t="s">
        <v>711</v>
      </c>
      <c r="C13" s="155" t="s">
        <v>968</v>
      </c>
      <c r="D13" s="155"/>
      <c r="E13" s="158"/>
      <c r="F13" s="155"/>
      <c r="G13" s="162" t="s">
        <v>307</v>
      </c>
      <c r="H13" s="155"/>
      <c r="I13" s="155"/>
      <c r="J13" s="155"/>
      <c r="K13" s="155"/>
      <c r="L13" s="155"/>
      <c r="M13" s="155"/>
      <c r="N13" s="155"/>
      <c r="O13" s="217"/>
      <c r="P13" s="230"/>
      <c r="Q13" s="155"/>
      <c r="R13" s="155"/>
      <c r="S13" s="155"/>
      <c r="T13" s="155"/>
      <c r="U13" s="231"/>
      <c r="V13" s="229"/>
    </row>
    <row r="14" spans="1:22" x14ac:dyDescent="0.25">
      <c r="B14" s="155"/>
      <c r="C14" s="155"/>
      <c r="D14" s="155"/>
      <c r="E14" s="158"/>
      <c r="F14" s="155"/>
      <c r="G14" s="155"/>
      <c r="H14" s="155"/>
      <c r="I14" s="155"/>
      <c r="J14" s="155"/>
      <c r="K14" s="155"/>
      <c r="L14" s="155"/>
      <c r="M14" s="155"/>
      <c r="N14" s="155"/>
      <c r="O14" s="217"/>
      <c r="P14" s="230"/>
      <c r="Q14" s="155"/>
      <c r="R14" s="155"/>
      <c r="S14" s="155"/>
      <c r="T14" s="155"/>
      <c r="U14" s="231"/>
      <c r="V14" s="229"/>
    </row>
    <row r="15" spans="1:22" x14ac:dyDescent="0.25">
      <c r="B15" s="155"/>
      <c r="C15" s="155"/>
      <c r="D15" s="155"/>
      <c r="E15" s="158"/>
      <c r="F15" s="155"/>
      <c r="G15" s="155"/>
      <c r="H15" s="155"/>
      <c r="I15" s="155"/>
      <c r="J15" s="155"/>
      <c r="K15" s="155"/>
      <c r="L15" s="155"/>
      <c r="M15" s="155"/>
      <c r="N15" s="155"/>
      <c r="O15" s="217"/>
      <c r="P15" s="230"/>
      <c r="Q15" s="155"/>
      <c r="R15" s="155"/>
      <c r="S15" s="155"/>
      <c r="T15" s="155"/>
      <c r="U15" s="231"/>
      <c r="V15" s="229"/>
    </row>
    <row r="16" spans="1:22" x14ac:dyDescent="0.25">
      <c r="B16" s="155"/>
      <c r="C16" s="155"/>
      <c r="D16" s="155"/>
      <c r="E16" s="158"/>
      <c r="F16" s="155"/>
      <c r="G16" s="155"/>
      <c r="H16" s="155"/>
      <c r="I16" s="155"/>
      <c r="J16" s="155"/>
      <c r="K16" s="155"/>
      <c r="L16" s="155"/>
      <c r="M16" s="155"/>
      <c r="N16" s="155"/>
      <c r="O16" s="217"/>
      <c r="P16" s="230"/>
      <c r="Q16" s="155"/>
      <c r="R16" s="155"/>
      <c r="S16" s="155"/>
      <c r="T16" s="155"/>
      <c r="U16" s="231"/>
      <c r="V16" s="229"/>
    </row>
    <row r="17" spans="1:22" x14ac:dyDescent="0.25">
      <c r="B17" s="155"/>
      <c r="C17" s="155"/>
      <c r="D17" s="155"/>
      <c r="E17" s="158"/>
      <c r="F17" s="155"/>
      <c r="G17" s="155"/>
      <c r="H17" s="155"/>
      <c r="I17" s="155"/>
      <c r="J17" s="155"/>
      <c r="K17" s="155"/>
      <c r="L17" s="155"/>
      <c r="M17" s="155"/>
      <c r="N17" s="155"/>
      <c r="O17" s="217"/>
      <c r="P17" s="230"/>
      <c r="Q17" s="155"/>
      <c r="R17" s="155"/>
      <c r="S17" s="155"/>
      <c r="T17" s="155"/>
      <c r="U17" s="231"/>
      <c r="V17" s="229"/>
    </row>
    <row r="18" spans="1:22" ht="30" x14ac:dyDescent="0.25">
      <c r="A18" s="158" t="s">
        <v>34</v>
      </c>
      <c r="B18" s="155" t="s">
        <v>369</v>
      </c>
      <c r="C18" s="155" t="s">
        <v>492</v>
      </c>
      <c r="D18" s="155" t="s">
        <v>445</v>
      </c>
      <c r="E18" s="155" t="s">
        <v>446</v>
      </c>
      <c r="F18" s="155" t="s">
        <v>290</v>
      </c>
      <c r="G18" s="158" t="s">
        <v>712</v>
      </c>
      <c r="H18" s="155"/>
      <c r="I18" s="155" t="s">
        <v>442</v>
      </c>
      <c r="J18" s="155"/>
      <c r="K18" s="155"/>
      <c r="L18" s="155"/>
      <c r="M18" s="155"/>
      <c r="N18" s="155"/>
      <c r="O18" s="217"/>
      <c r="P18" s="230"/>
      <c r="Q18" s="155"/>
      <c r="R18" s="155"/>
      <c r="S18" s="155"/>
      <c r="T18" s="155"/>
      <c r="U18" s="231"/>
      <c r="V18" s="229" t="s">
        <v>447</v>
      </c>
    </row>
    <row r="19" spans="1:22" ht="30" x14ac:dyDescent="0.25">
      <c r="B19" s="155"/>
      <c r="C19" s="155"/>
      <c r="D19" s="155"/>
      <c r="E19" s="155"/>
      <c r="F19" s="155" t="s">
        <v>291</v>
      </c>
      <c r="G19" s="155" t="s">
        <v>713</v>
      </c>
      <c r="H19" s="155"/>
      <c r="I19" s="155"/>
      <c r="J19" s="155"/>
      <c r="K19" s="155"/>
      <c r="L19" s="155"/>
      <c r="M19" s="155"/>
      <c r="N19" s="155"/>
      <c r="O19" s="217"/>
      <c r="P19" s="230"/>
      <c r="Q19" s="155"/>
      <c r="R19" s="155"/>
      <c r="S19" s="155"/>
      <c r="T19" s="155"/>
      <c r="U19" s="231"/>
      <c r="V19" s="229" t="s">
        <v>714</v>
      </c>
    </row>
    <row r="20" spans="1:22" ht="30" x14ac:dyDescent="0.25">
      <c r="B20" s="155"/>
      <c r="C20" s="155"/>
      <c r="D20" s="155"/>
      <c r="E20" s="155"/>
      <c r="F20" s="155" t="s">
        <v>278</v>
      </c>
      <c r="G20" s="155" t="s">
        <v>448</v>
      </c>
      <c r="H20" s="155"/>
      <c r="I20" s="155"/>
      <c r="J20" s="155"/>
      <c r="K20" s="155"/>
      <c r="L20" s="155"/>
      <c r="M20" s="155"/>
      <c r="N20" s="155"/>
      <c r="O20" s="217"/>
      <c r="P20" s="230"/>
      <c r="Q20" s="155"/>
      <c r="R20" s="155"/>
      <c r="S20" s="155"/>
      <c r="T20" s="155"/>
      <c r="U20" s="231"/>
      <c r="V20" s="229" t="s">
        <v>449</v>
      </c>
    </row>
    <row r="21" spans="1:22" x14ac:dyDescent="0.25">
      <c r="B21" s="155"/>
      <c r="C21" s="155"/>
      <c r="D21" s="155"/>
      <c r="E21" s="155"/>
      <c r="F21" s="155" t="s">
        <v>284</v>
      </c>
      <c r="G21" s="155" t="s">
        <v>450</v>
      </c>
      <c r="H21" s="155"/>
      <c r="I21" s="155"/>
      <c r="J21" s="155"/>
      <c r="K21" s="155"/>
      <c r="L21" s="155"/>
      <c r="M21" s="155"/>
      <c r="N21" s="155"/>
      <c r="O21" s="217"/>
      <c r="P21" s="230"/>
      <c r="Q21" s="155"/>
      <c r="R21" s="155"/>
      <c r="S21" s="155"/>
      <c r="T21" s="155"/>
      <c r="U21" s="231"/>
      <c r="V21" s="229"/>
    </row>
    <row r="22" spans="1:22" ht="45" x14ac:dyDescent="0.25">
      <c r="B22" s="155"/>
      <c r="C22" s="155"/>
      <c r="D22" s="155"/>
      <c r="E22" s="155"/>
      <c r="F22" s="155" t="s">
        <v>451</v>
      </c>
      <c r="G22" s="155" t="s">
        <v>715</v>
      </c>
      <c r="H22" s="155"/>
      <c r="I22" s="155"/>
      <c r="J22" s="155"/>
      <c r="K22" s="155"/>
      <c r="L22" s="155"/>
      <c r="M22" s="155"/>
      <c r="N22" s="155"/>
      <c r="O22" s="217"/>
      <c r="P22" s="230"/>
      <c r="Q22" s="155"/>
      <c r="R22" s="155"/>
      <c r="S22" s="155"/>
      <c r="T22" s="155"/>
      <c r="U22" s="231"/>
      <c r="V22" s="229" t="s">
        <v>969</v>
      </c>
    </row>
    <row r="23" spans="1:22" ht="30" x14ac:dyDescent="0.25">
      <c r="A23" s="158" t="s">
        <v>34</v>
      </c>
      <c r="B23" s="155" t="s">
        <v>452</v>
      </c>
      <c r="C23" s="155" t="s">
        <v>315</v>
      </c>
      <c r="D23" s="155" t="s">
        <v>460</v>
      </c>
      <c r="E23" s="155"/>
      <c r="F23" s="155" t="s">
        <v>312</v>
      </c>
      <c r="G23" s="155" t="s">
        <v>453</v>
      </c>
      <c r="H23" s="155"/>
      <c r="I23" s="155"/>
      <c r="J23" s="155"/>
      <c r="K23" s="155"/>
      <c r="L23" s="155"/>
      <c r="M23" s="155"/>
      <c r="N23" s="155"/>
      <c r="O23" s="217"/>
      <c r="P23" s="230"/>
      <c r="Q23" s="155"/>
      <c r="R23" s="155"/>
      <c r="S23" s="155"/>
      <c r="T23" s="155"/>
      <c r="U23" s="231"/>
      <c r="V23" s="229" t="s">
        <v>454</v>
      </c>
    </row>
    <row r="24" spans="1:22" x14ac:dyDescent="0.25">
      <c r="B24" s="155"/>
      <c r="C24" s="155"/>
      <c r="D24" s="155"/>
      <c r="E24" s="155"/>
      <c r="F24" s="155" t="s">
        <v>313</v>
      </c>
      <c r="G24" s="155" t="s">
        <v>455</v>
      </c>
      <c r="H24" s="155"/>
      <c r="I24" s="155"/>
      <c r="J24" s="155"/>
      <c r="K24" s="155"/>
      <c r="L24" s="155"/>
      <c r="M24" s="155"/>
      <c r="N24" s="155"/>
      <c r="O24" s="217"/>
      <c r="P24" s="230"/>
      <c r="Q24" s="155"/>
      <c r="R24" s="155"/>
      <c r="S24" s="155"/>
      <c r="T24" s="155"/>
      <c r="U24" s="231"/>
      <c r="V24" s="229"/>
    </row>
    <row r="25" spans="1:22" ht="45" x14ac:dyDescent="0.25">
      <c r="B25" s="155"/>
      <c r="C25" s="155"/>
      <c r="D25" s="155"/>
      <c r="E25" s="155"/>
      <c r="F25" s="155" t="s">
        <v>314</v>
      </c>
      <c r="G25" s="155" t="s">
        <v>970</v>
      </c>
      <c r="H25" s="155"/>
      <c r="I25" s="155"/>
      <c r="J25" s="155"/>
      <c r="K25" s="155"/>
      <c r="L25" s="155"/>
      <c r="M25" s="155"/>
      <c r="N25" s="155"/>
      <c r="O25" s="217"/>
      <c r="P25" s="230"/>
      <c r="Q25" s="155"/>
      <c r="R25" s="155"/>
      <c r="S25" s="155"/>
      <c r="T25" s="155"/>
      <c r="U25" s="231"/>
      <c r="V25" s="229"/>
    </row>
    <row r="26" spans="1:22" x14ac:dyDescent="0.25">
      <c r="B26" s="155"/>
      <c r="C26" s="155"/>
      <c r="D26" s="155"/>
      <c r="E26" s="155"/>
      <c r="F26" s="155" t="s">
        <v>456</v>
      </c>
      <c r="G26" s="155" t="s">
        <v>463</v>
      </c>
      <c r="H26" s="155"/>
      <c r="I26" s="155"/>
      <c r="J26" s="155"/>
      <c r="K26" s="155"/>
      <c r="L26" s="155"/>
      <c r="M26" s="155"/>
      <c r="N26" s="155"/>
      <c r="O26" s="217"/>
      <c r="P26" s="230"/>
      <c r="Q26" s="155"/>
      <c r="R26" s="155"/>
      <c r="S26" s="155"/>
      <c r="T26" s="155"/>
      <c r="U26" s="231"/>
      <c r="V26" s="229"/>
    </row>
    <row r="27" spans="1:22" ht="30" x14ac:dyDescent="0.25">
      <c r="A27" s="158" t="s">
        <v>34</v>
      </c>
      <c r="B27" s="155" t="s">
        <v>400</v>
      </c>
      <c r="C27" s="155" t="s">
        <v>400</v>
      </c>
      <c r="D27" s="155" t="s">
        <v>716</v>
      </c>
      <c r="E27" s="155" t="s">
        <v>443</v>
      </c>
      <c r="F27" s="155" t="s">
        <v>274</v>
      </c>
      <c r="G27" s="171">
        <f>1.5/37*G3</f>
        <v>13.378378378378379</v>
      </c>
      <c r="H27" s="172" t="e">
        <f>H8</f>
        <v>#REF!</v>
      </c>
      <c r="I27" s="155" t="s">
        <v>442</v>
      </c>
      <c r="J27" s="155"/>
      <c r="K27" s="155"/>
      <c r="L27" s="155"/>
      <c r="M27" s="155"/>
      <c r="N27" s="155"/>
      <c r="O27" s="217"/>
      <c r="P27" s="230"/>
      <c r="Q27" s="155"/>
      <c r="R27" s="155"/>
      <c r="S27" s="155"/>
      <c r="T27" s="155"/>
      <c r="U27" s="231"/>
      <c r="V27" s="229" t="s">
        <v>457</v>
      </c>
    </row>
    <row r="28" spans="1:22" x14ac:dyDescent="0.25">
      <c r="B28" s="155"/>
      <c r="C28" s="155"/>
      <c r="D28" s="155"/>
      <c r="E28" s="155"/>
      <c r="F28" s="155" t="s">
        <v>290</v>
      </c>
      <c r="G28" s="155" t="s">
        <v>401</v>
      </c>
      <c r="H28" s="162"/>
      <c r="I28" s="155"/>
      <c r="J28" s="155"/>
      <c r="K28" s="155"/>
      <c r="L28" s="155"/>
      <c r="M28" s="155"/>
      <c r="N28" s="155"/>
      <c r="O28" s="217"/>
      <c r="P28" s="230"/>
      <c r="Q28" s="155"/>
      <c r="R28" s="155"/>
      <c r="S28" s="155"/>
      <c r="T28" s="155"/>
      <c r="U28" s="231"/>
      <c r="V28" s="229" t="s">
        <v>458</v>
      </c>
    </row>
    <row r="29" spans="1:22" x14ac:dyDescent="0.25">
      <c r="B29" s="155"/>
      <c r="C29" s="155"/>
      <c r="D29" s="155"/>
      <c r="E29" s="155"/>
      <c r="F29" s="155" t="s">
        <v>277</v>
      </c>
      <c r="G29" s="155" t="s">
        <v>401</v>
      </c>
      <c r="H29" s="155"/>
      <c r="I29" s="155"/>
      <c r="J29" s="155"/>
      <c r="K29" s="155"/>
      <c r="L29" s="155"/>
      <c r="M29" s="155"/>
      <c r="N29" s="155"/>
      <c r="O29" s="217"/>
      <c r="P29" s="230"/>
      <c r="Q29" s="155"/>
      <c r="R29" s="155"/>
      <c r="S29" s="155"/>
      <c r="T29" s="155"/>
      <c r="U29" s="231"/>
      <c r="V29" s="229"/>
    </row>
    <row r="30" spans="1:22" x14ac:dyDescent="0.25">
      <c r="B30" s="155"/>
      <c r="C30" s="155"/>
      <c r="D30" s="155"/>
      <c r="E30" s="155"/>
      <c r="F30" s="155" t="s">
        <v>278</v>
      </c>
      <c r="G30" s="155" t="s">
        <v>408</v>
      </c>
      <c r="H30" s="155"/>
      <c r="I30" s="155"/>
      <c r="J30" s="155"/>
      <c r="K30" s="155"/>
      <c r="L30" s="155"/>
      <c r="M30" s="155"/>
      <c r="N30" s="155"/>
      <c r="O30" s="217"/>
      <c r="P30" s="230"/>
      <c r="Q30" s="155"/>
      <c r="R30" s="155"/>
      <c r="S30" s="155"/>
      <c r="T30" s="155"/>
      <c r="U30" s="231"/>
      <c r="V30" s="229"/>
    </row>
    <row r="31" spans="1:22" ht="30" x14ac:dyDescent="0.25">
      <c r="B31" s="155"/>
      <c r="C31" s="155"/>
      <c r="D31" s="155"/>
      <c r="E31" s="155"/>
      <c r="F31" s="155" t="s">
        <v>279</v>
      </c>
      <c r="G31" s="155" t="s">
        <v>408</v>
      </c>
      <c r="H31" s="155"/>
      <c r="I31" s="155"/>
      <c r="J31" s="155"/>
      <c r="K31" s="155"/>
      <c r="L31" s="155"/>
      <c r="M31" s="155"/>
      <c r="N31" s="155"/>
      <c r="O31" s="217"/>
      <c r="P31" s="230"/>
      <c r="Q31" s="155"/>
      <c r="R31" s="155"/>
      <c r="S31" s="155"/>
      <c r="T31" s="155"/>
      <c r="U31" s="231"/>
      <c r="V31" s="229"/>
    </row>
    <row r="32" spans="1:22" ht="30" x14ac:dyDescent="0.25">
      <c r="A32" s="158" t="s">
        <v>34</v>
      </c>
      <c r="B32" s="155" t="s">
        <v>459</v>
      </c>
      <c r="C32" s="155" t="s">
        <v>315</v>
      </c>
      <c r="D32" s="155" t="s">
        <v>460</v>
      </c>
      <c r="E32" s="155"/>
      <c r="F32" s="155" t="s">
        <v>312</v>
      </c>
      <c r="G32" s="155" t="s">
        <v>453</v>
      </c>
      <c r="H32" s="155"/>
      <c r="I32" s="155"/>
      <c r="J32" s="155"/>
      <c r="K32" s="155"/>
      <c r="L32" s="155"/>
      <c r="M32" s="155"/>
      <c r="N32" s="155"/>
      <c r="O32" s="217"/>
      <c r="P32" s="230"/>
      <c r="Q32" s="155"/>
      <c r="R32" s="155"/>
      <c r="S32" s="155"/>
      <c r="T32" s="155"/>
      <c r="U32" s="231"/>
      <c r="V32" s="229" t="s">
        <v>461</v>
      </c>
    </row>
    <row r="33" spans="1:22" ht="30" x14ac:dyDescent="0.25">
      <c r="B33" s="155"/>
      <c r="C33" s="155"/>
      <c r="D33" s="155"/>
      <c r="E33" s="155"/>
      <c r="F33" s="155" t="s">
        <v>313</v>
      </c>
      <c r="G33" s="155" t="s">
        <v>462</v>
      </c>
      <c r="H33" s="155"/>
      <c r="I33" s="155"/>
      <c r="J33" s="155"/>
      <c r="K33" s="155"/>
      <c r="L33" s="155"/>
      <c r="M33" s="155"/>
      <c r="N33" s="155"/>
      <c r="O33" s="217"/>
      <c r="P33" s="230"/>
      <c r="Q33" s="155"/>
      <c r="R33" s="155"/>
      <c r="S33" s="155"/>
      <c r="T33" s="155"/>
      <c r="U33" s="231"/>
      <c r="V33" s="229" t="s">
        <v>717</v>
      </c>
    </row>
    <row r="34" spans="1:22" ht="30" x14ac:dyDescent="0.25">
      <c r="B34" s="155"/>
      <c r="C34" s="155"/>
      <c r="D34" s="155"/>
      <c r="E34" s="155"/>
      <c r="F34" s="155" t="s">
        <v>314</v>
      </c>
      <c r="G34" s="155" t="s">
        <v>276</v>
      </c>
      <c r="H34" s="155"/>
      <c r="I34" s="155"/>
      <c r="J34" s="155"/>
      <c r="K34" s="155"/>
      <c r="L34" s="155"/>
      <c r="M34" s="155"/>
      <c r="N34" s="155"/>
      <c r="O34" s="217"/>
      <c r="P34" s="230"/>
      <c r="Q34" s="155"/>
      <c r="R34" s="155"/>
      <c r="S34" s="155"/>
      <c r="T34" s="155"/>
      <c r="U34" s="231"/>
      <c r="V34" s="229"/>
    </row>
    <row r="35" spans="1:22" x14ac:dyDescent="0.25">
      <c r="B35" s="155"/>
      <c r="C35" s="155"/>
      <c r="D35" s="155"/>
      <c r="E35" s="155"/>
      <c r="F35" s="155" t="s">
        <v>456</v>
      </c>
      <c r="G35" s="155" t="s">
        <v>463</v>
      </c>
      <c r="H35" s="155"/>
      <c r="I35" s="155"/>
      <c r="J35" s="155"/>
      <c r="K35" s="155"/>
      <c r="L35" s="155"/>
      <c r="M35" s="155"/>
      <c r="N35" s="155"/>
      <c r="O35" s="217"/>
      <c r="P35" s="230"/>
      <c r="Q35" s="155"/>
      <c r="R35" s="155"/>
      <c r="S35" s="155"/>
      <c r="T35" s="155"/>
      <c r="U35" s="231"/>
      <c r="V35" s="229"/>
    </row>
    <row r="36" spans="1:22" ht="75" x14ac:dyDescent="0.25">
      <c r="A36" s="158" t="s">
        <v>34</v>
      </c>
      <c r="B36" s="155" t="s">
        <v>338</v>
      </c>
      <c r="C36" s="155" t="s">
        <v>404</v>
      </c>
      <c r="D36" s="155" t="s">
        <v>464</v>
      </c>
      <c r="E36" s="155"/>
      <c r="F36" s="155" t="s">
        <v>290</v>
      </c>
      <c r="G36" s="155" t="s">
        <v>405</v>
      </c>
      <c r="H36" s="160"/>
      <c r="I36" s="155" t="s">
        <v>442</v>
      </c>
      <c r="J36" s="155"/>
      <c r="K36" s="155"/>
      <c r="L36" s="155"/>
      <c r="M36" s="155"/>
      <c r="N36" s="155"/>
      <c r="O36" s="217"/>
      <c r="P36" s="230"/>
      <c r="Q36" s="155"/>
      <c r="R36" s="155"/>
      <c r="S36" s="155"/>
      <c r="T36" s="155"/>
      <c r="U36" s="231"/>
      <c r="V36" s="234" t="s">
        <v>971</v>
      </c>
    </row>
    <row r="37" spans="1:22" ht="30" x14ac:dyDescent="0.25">
      <c r="B37" s="155"/>
      <c r="C37" s="155"/>
      <c r="D37" s="155"/>
      <c r="E37" s="155"/>
      <c r="F37" s="155" t="s">
        <v>291</v>
      </c>
      <c r="G37" s="155" t="s">
        <v>411</v>
      </c>
      <c r="H37" s="155"/>
      <c r="I37" s="155"/>
      <c r="J37" s="155"/>
      <c r="K37" s="155"/>
      <c r="L37" s="155"/>
      <c r="M37" s="155"/>
      <c r="N37" s="155"/>
      <c r="O37" s="217"/>
      <c r="P37" s="230"/>
      <c r="Q37" s="155"/>
      <c r="R37" s="155"/>
      <c r="S37" s="155"/>
      <c r="T37" s="155"/>
      <c r="U37" s="231"/>
      <c r="V37" s="229" t="s">
        <v>719</v>
      </c>
    </row>
    <row r="38" spans="1:22" ht="30" x14ac:dyDescent="0.25">
      <c r="B38" s="155"/>
      <c r="C38" s="155"/>
      <c r="D38" s="155"/>
      <c r="E38" s="155"/>
      <c r="F38" s="155" t="s">
        <v>425</v>
      </c>
      <c r="G38" s="155" t="s">
        <v>408</v>
      </c>
      <c r="H38" s="155"/>
      <c r="I38" s="155"/>
      <c r="J38" s="155"/>
      <c r="K38" s="155"/>
      <c r="L38" s="155"/>
      <c r="M38" s="155"/>
      <c r="N38" s="155"/>
      <c r="O38" s="217"/>
      <c r="P38" s="230"/>
      <c r="Q38" s="155"/>
      <c r="R38" s="155"/>
      <c r="S38" s="155"/>
      <c r="T38" s="155"/>
      <c r="U38" s="231"/>
      <c r="V38" s="229"/>
    </row>
    <row r="39" spans="1:22" x14ac:dyDescent="0.25">
      <c r="B39" s="155"/>
      <c r="C39" s="155"/>
      <c r="D39" s="155"/>
      <c r="E39" s="155"/>
      <c r="F39" s="155" t="s">
        <v>278</v>
      </c>
      <c r="G39" s="155" t="s">
        <v>408</v>
      </c>
      <c r="H39" s="155"/>
      <c r="I39" s="155"/>
      <c r="J39" s="155"/>
      <c r="K39" s="155"/>
      <c r="L39" s="155"/>
      <c r="M39" s="155"/>
      <c r="N39" s="155"/>
      <c r="O39" s="217"/>
      <c r="P39" s="230"/>
      <c r="Q39" s="155"/>
      <c r="R39" s="155"/>
      <c r="S39" s="155"/>
      <c r="T39" s="155"/>
      <c r="U39" s="231"/>
      <c r="V39" s="229"/>
    </row>
    <row r="40" spans="1:22" ht="45" x14ac:dyDescent="0.25">
      <c r="A40" s="158" t="s">
        <v>34</v>
      </c>
      <c r="B40" s="155" t="s">
        <v>465</v>
      </c>
      <c r="C40" s="155" t="s">
        <v>466</v>
      </c>
      <c r="D40" s="155" t="s">
        <v>467</v>
      </c>
      <c r="E40" s="155"/>
      <c r="F40" s="155" t="s">
        <v>295</v>
      </c>
      <c r="G40" s="155" t="s">
        <v>468</v>
      </c>
      <c r="H40" s="155"/>
      <c r="I40" s="155" t="s">
        <v>491</v>
      </c>
      <c r="J40" s="155"/>
      <c r="K40" s="155"/>
      <c r="L40" s="155"/>
      <c r="M40" s="155"/>
      <c r="N40" s="155"/>
      <c r="O40" s="217"/>
      <c r="P40" s="230"/>
      <c r="Q40" s="155"/>
      <c r="R40" s="155"/>
      <c r="S40" s="155"/>
      <c r="T40" s="155"/>
      <c r="U40" s="231"/>
      <c r="V40" s="229" t="s">
        <v>720</v>
      </c>
    </row>
    <row r="41" spans="1:22" x14ac:dyDescent="0.25">
      <c r="B41" s="155"/>
      <c r="C41" s="155"/>
      <c r="D41" s="155"/>
      <c r="E41" s="155"/>
      <c r="F41" s="155" t="s">
        <v>302</v>
      </c>
      <c r="G41" s="155" t="s">
        <v>408</v>
      </c>
      <c r="H41" s="155"/>
      <c r="I41" s="155"/>
      <c r="J41" s="155"/>
      <c r="K41" s="155"/>
      <c r="L41" s="155"/>
      <c r="M41" s="155"/>
      <c r="N41" s="155"/>
      <c r="O41" s="217"/>
      <c r="P41" s="230"/>
      <c r="Q41" s="155"/>
      <c r="R41" s="155"/>
      <c r="S41" s="155"/>
      <c r="T41" s="155"/>
      <c r="U41" s="231"/>
      <c r="V41" s="229" t="s">
        <v>718</v>
      </c>
    </row>
    <row r="42" spans="1:22" ht="45" x14ac:dyDescent="0.25">
      <c r="A42" s="158" t="s">
        <v>979</v>
      </c>
      <c r="B42" s="158"/>
      <c r="C42" s="158"/>
      <c r="D42" s="303" t="s">
        <v>981</v>
      </c>
      <c r="E42" s="158"/>
      <c r="F42" s="158"/>
      <c r="G42" s="158"/>
      <c r="H42" s="158"/>
      <c r="I42" s="158"/>
      <c r="J42" s="158"/>
      <c r="K42" s="158"/>
      <c r="L42" s="158"/>
      <c r="M42" s="158"/>
      <c r="N42" s="158"/>
      <c r="O42" s="158"/>
      <c r="P42" s="158"/>
      <c r="Q42" s="158"/>
      <c r="R42" s="158"/>
      <c r="S42" s="158"/>
      <c r="T42" s="158"/>
      <c r="U42" s="158"/>
      <c r="V42" s="158" t="s">
        <v>980</v>
      </c>
    </row>
    <row r="43" spans="1:22" x14ac:dyDescent="0.25">
      <c r="A43" s="158"/>
      <c r="B43" s="155"/>
      <c r="C43" s="155"/>
      <c r="D43" s="155"/>
      <c r="E43" s="155"/>
      <c r="F43" s="155"/>
      <c r="G43" s="155"/>
      <c r="H43" s="155"/>
      <c r="I43" s="155"/>
      <c r="J43" s="155"/>
      <c r="K43" s="155"/>
      <c r="L43" s="155"/>
      <c r="M43" s="155"/>
      <c r="N43" s="155"/>
      <c r="O43" s="217"/>
      <c r="P43" s="230"/>
      <c r="Q43" s="155"/>
      <c r="R43" s="155"/>
      <c r="S43" s="155"/>
      <c r="T43" s="155"/>
      <c r="U43" s="231"/>
      <c r="V43" s="229"/>
    </row>
    <row r="44" spans="1:22" x14ac:dyDescent="0.25">
      <c r="A44" s="158"/>
      <c r="B44" s="155"/>
      <c r="C44" s="155"/>
      <c r="D44" s="155"/>
      <c r="E44" s="155"/>
      <c r="F44" s="155"/>
      <c r="G44" s="155"/>
      <c r="H44" s="155"/>
      <c r="I44" s="155"/>
      <c r="J44" s="155"/>
      <c r="K44" s="155"/>
      <c r="L44" s="155"/>
      <c r="M44" s="155"/>
      <c r="N44" s="155"/>
      <c r="O44" s="217"/>
      <c r="P44" s="230"/>
      <c r="Q44" s="155"/>
      <c r="R44" s="155"/>
      <c r="S44" s="155"/>
      <c r="T44" s="155"/>
      <c r="U44" s="231"/>
      <c r="V44" s="229"/>
    </row>
    <row r="45" spans="1:22" x14ac:dyDescent="0.25">
      <c r="B45" s="155"/>
      <c r="C45" s="155"/>
      <c r="D45" s="155"/>
      <c r="E45" s="155"/>
      <c r="F45" s="155"/>
      <c r="G45" s="155"/>
      <c r="H45" s="155"/>
      <c r="I45" s="155"/>
      <c r="J45" s="155"/>
      <c r="K45" s="155"/>
      <c r="L45" s="155"/>
      <c r="M45" s="155"/>
      <c r="N45" s="155"/>
      <c r="O45" s="217"/>
      <c r="P45" s="230"/>
      <c r="Q45" s="155"/>
      <c r="R45" s="155"/>
      <c r="S45" s="155"/>
      <c r="T45" s="155"/>
      <c r="U45" s="231"/>
      <c r="V45" s="229"/>
    </row>
    <row r="46" spans="1:22" ht="30" x14ac:dyDescent="0.25">
      <c r="A46" s="158" t="s">
        <v>34</v>
      </c>
      <c r="B46" s="155" t="s">
        <v>273</v>
      </c>
      <c r="C46" s="155" t="s">
        <v>400</v>
      </c>
      <c r="D46" s="155" t="s">
        <v>490</v>
      </c>
      <c r="E46" s="155" t="s">
        <v>469</v>
      </c>
      <c r="F46" s="155" t="s">
        <v>274</v>
      </c>
      <c r="G46" s="155" t="s">
        <v>408</v>
      </c>
      <c r="H46" s="155"/>
      <c r="I46" s="155" t="s">
        <v>366</v>
      </c>
      <c r="J46" s="155"/>
      <c r="K46" s="155"/>
      <c r="L46" s="155"/>
      <c r="M46" s="155"/>
      <c r="N46" s="155"/>
      <c r="O46" s="217"/>
      <c r="P46" s="230"/>
      <c r="Q46" s="155"/>
      <c r="R46" s="155"/>
      <c r="S46" s="155"/>
      <c r="T46" s="155"/>
      <c r="U46" s="231"/>
      <c r="V46" s="229" t="s">
        <v>470</v>
      </c>
    </row>
    <row r="47" spans="1:22" x14ac:dyDescent="0.25">
      <c r="B47" s="155"/>
      <c r="C47" s="155"/>
      <c r="D47" s="155"/>
      <c r="E47" s="155"/>
      <c r="F47" s="155" t="s">
        <v>290</v>
      </c>
      <c r="G47" s="155" t="s">
        <v>721</v>
      </c>
      <c r="H47" s="155"/>
      <c r="I47" s="155"/>
      <c r="J47" s="155"/>
      <c r="K47" s="155"/>
      <c r="L47" s="155"/>
      <c r="M47" s="155"/>
      <c r="N47" s="155"/>
      <c r="O47" s="217"/>
      <c r="P47" s="230"/>
      <c r="Q47" s="155"/>
      <c r="R47" s="155"/>
      <c r="S47" s="155"/>
      <c r="T47" s="155"/>
      <c r="U47" s="231"/>
      <c r="V47" s="229" t="s">
        <v>471</v>
      </c>
    </row>
    <row r="48" spans="1:22" ht="45" x14ac:dyDescent="0.25">
      <c r="B48" s="155"/>
      <c r="C48" s="155"/>
      <c r="D48" s="155"/>
      <c r="E48" s="155"/>
      <c r="F48" s="155" t="s">
        <v>277</v>
      </c>
      <c r="G48" s="155" t="s">
        <v>722</v>
      </c>
      <c r="H48" s="155"/>
      <c r="I48" s="155"/>
      <c r="J48" s="155"/>
      <c r="K48" s="155"/>
      <c r="L48" s="155"/>
      <c r="M48" s="155"/>
      <c r="N48" s="155"/>
      <c r="O48" s="217"/>
      <c r="P48" s="230"/>
      <c r="Q48" s="155"/>
      <c r="R48" s="155"/>
      <c r="S48" s="155"/>
      <c r="T48" s="155"/>
      <c r="U48" s="231"/>
      <c r="V48" s="233" t="s">
        <v>723</v>
      </c>
    </row>
    <row r="49" spans="1:22" x14ac:dyDescent="0.25">
      <c r="B49" s="155"/>
      <c r="C49" s="155"/>
      <c r="D49" s="155"/>
      <c r="E49" s="155"/>
      <c r="F49" s="155" t="s">
        <v>278</v>
      </c>
      <c r="G49" s="155" t="s">
        <v>408</v>
      </c>
      <c r="H49" s="155"/>
      <c r="I49" s="155"/>
      <c r="J49" s="155"/>
      <c r="K49" s="155"/>
      <c r="L49" s="155"/>
      <c r="M49" s="155"/>
      <c r="N49" s="155"/>
      <c r="O49" s="217"/>
      <c r="P49" s="230"/>
      <c r="Q49" s="155"/>
      <c r="R49" s="155"/>
      <c r="S49" s="155"/>
      <c r="T49" s="155"/>
      <c r="U49" s="231"/>
      <c r="V49" s="229"/>
    </row>
    <row r="50" spans="1:22" ht="30" x14ac:dyDescent="0.25">
      <c r="B50" s="155"/>
      <c r="C50" s="155"/>
      <c r="D50" s="155"/>
      <c r="E50" s="155"/>
      <c r="F50" s="155" t="s">
        <v>279</v>
      </c>
      <c r="G50" s="155" t="s">
        <v>410</v>
      </c>
      <c r="H50" s="160"/>
      <c r="I50" s="155"/>
      <c r="J50" s="155"/>
      <c r="K50" s="155"/>
      <c r="L50" s="155"/>
      <c r="M50" s="155"/>
      <c r="N50" s="155"/>
      <c r="O50" s="217"/>
      <c r="P50" s="230"/>
      <c r="Q50" s="155"/>
      <c r="R50" s="155"/>
      <c r="S50" s="155"/>
      <c r="T50" s="155"/>
      <c r="U50" s="231"/>
      <c r="V50" s="229"/>
    </row>
    <row r="51" spans="1:22" ht="30" x14ac:dyDescent="0.25">
      <c r="B51" s="155"/>
      <c r="C51" s="155"/>
      <c r="D51" s="155"/>
      <c r="E51" s="155"/>
      <c r="F51" s="155" t="s">
        <v>346</v>
      </c>
      <c r="G51" s="155" t="s">
        <v>472</v>
      </c>
      <c r="H51" s="155"/>
      <c r="I51" s="155"/>
      <c r="J51" s="155"/>
      <c r="K51" s="155"/>
      <c r="L51" s="155"/>
      <c r="M51" s="155"/>
      <c r="N51" s="155"/>
      <c r="O51" s="217"/>
      <c r="P51" s="230"/>
      <c r="Q51" s="155"/>
      <c r="R51" s="155"/>
      <c r="S51" s="155"/>
      <c r="T51" s="155"/>
      <c r="U51" s="231"/>
      <c r="V51" s="229" t="s">
        <v>724</v>
      </c>
    </row>
    <row r="52" spans="1:22" ht="30" x14ac:dyDescent="0.25">
      <c r="A52" s="158" t="s">
        <v>34</v>
      </c>
      <c r="B52" s="155" t="s">
        <v>473</v>
      </c>
      <c r="C52" s="155" t="s">
        <v>474</v>
      </c>
      <c r="D52" s="155" t="s">
        <v>475</v>
      </c>
      <c r="E52" s="155"/>
      <c r="F52" s="155"/>
      <c r="G52" s="155"/>
      <c r="H52" s="162" t="s">
        <v>4</v>
      </c>
      <c r="I52" s="155"/>
      <c r="J52" s="155"/>
      <c r="K52" s="155"/>
      <c r="L52" s="155"/>
      <c r="M52" s="155"/>
      <c r="N52" s="155"/>
      <c r="O52" s="217"/>
      <c r="P52" s="230"/>
      <c r="Q52" s="155"/>
      <c r="R52" s="155"/>
      <c r="S52" s="155"/>
      <c r="T52" s="155"/>
      <c r="U52" s="231"/>
      <c r="V52" s="229"/>
    </row>
    <row r="53" spans="1:22" ht="30" x14ac:dyDescent="0.25">
      <c r="A53" s="158" t="s">
        <v>34</v>
      </c>
      <c r="B53" s="155" t="s">
        <v>338</v>
      </c>
      <c r="C53" s="155" t="s">
        <v>412</v>
      </c>
      <c r="D53" s="155" t="s">
        <v>726</v>
      </c>
      <c r="E53" s="155"/>
      <c r="F53" s="155" t="s">
        <v>290</v>
      </c>
      <c r="G53" s="155" t="s">
        <v>405</v>
      </c>
      <c r="H53" s="155"/>
      <c r="I53" s="155" t="s">
        <v>366</v>
      </c>
      <c r="J53" s="155"/>
      <c r="K53" s="155"/>
      <c r="L53" s="155"/>
      <c r="M53" s="155"/>
      <c r="N53" s="155"/>
      <c r="O53" s="217"/>
      <c r="P53" s="230"/>
      <c r="Q53" s="155"/>
      <c r="R53" s="155"/>
      <c r="S53" s="155"/>
      <c r="T53" s="155"/>
      <c r="U53" s="231"/>
      <c r="V53" s="229"/>
    </row>
    <row r="54" spans="1:22" ht="30" x14ac:dyDescent="0.25">
      <c r="B54" s="155"/>
      <c r="C54" s="155"/>
      <c r="D54" s="155"/>
      <c r="E54" s="155"/>
      <c r="F54" s="155" t="s">
        <v>291</v>
      </c>
      <c r="G54" s="155" t="s">
        <v>972</v>
      </c>
      <c r="H54" s="155"/>
      <c r="I54" s="155"/>
      <c r="J54" s="155"/>
      <c r="K54" s="155"/>
      <c r="L54" s="155"/>
      <c r="M54" s="155"/>
      <c r="N54" s="155"/>
      <c r="O54" s="217"/>
      <c r="P54" s="230"/>
      <c r="Q54" s="155"/>
      <c r="R54" s="155"/>
      <c r="S54" s="155"/>
      <c r="T54" s="155"/>
      <c r="U54" s="231"/>
      <c r="V54" s="229"/>
    </row>
    <row r="55" spans="1:22" x14ac:dyDescent="0.25">
      <c r="B55" s="155"/>
      <c r="C55" s="155"/>
      <c r="D55" s="155"/>
      <c r="E55" s="155"/>
      <c r="F55" s="155" t="s">
        <v>278</v>
      </c>
      <c r="G55" s="155" t="s">
        <v>305</v>
      </c>
      <c r="H55" s="162"/>
      <c r="I55" s="155"/>
      <c r="J55" s="155"/>
      <c r="K55" s="155"/>
      <c r="L55" s="155"/>
      <c r="M55" s="155"/>
      <c r="N55" s="155"/>
      <c r="O55" s="217"/>
      <c r="P55" s="230"/>
      <c r="Q55" s="155"/>
      <c r="R55" s="155"/>
      <c r="S55" s="155"/>
      <c r="T55" s="155"/>
      <c r="U55" s="231"/>
      <c r="V55" s="229"/>
    </row>
    <row r="56" spans="1:22" x14ac:dyDescent="0.25">
      <c r="B56" s="155"/>
      <c r="C56" s="155"/>
      <c r="D56" s="155"/>
      <c r="E56" s="155"/>
      <c r="F56" s="155" t="s">
        <v>284</v>
      </c>
      <c r="G56" s="155" t="s">
        <v>476</v>
      </c>
      <c r="H56" s="155"/>
      <c r="I56" s="155"/>
      <c r="J56" s="155"/>
      <c r="K56" s="155"/>
      <c r="L56" s="155"/>
      <c r="M56" s="155"/>
      <c r="N56" s="155"/>
      <c r="O56" s="217"/>
      <c r="P56" s="230"/>
      <c r="Q56" s="155"/>
      <c r="R56" s="155"/>
      <c r="S56" s="155"/>
      <c r="T56" s="155"/>
      <c r="U56" s="231"/>
      <c r="V56" s="229"/>
    </row>
    <row r="57" spans="1:22" ht="30" x14ac:dyDescent="0.25">
      <c r="B57" s="155"/>
      <c r="C57" s="155"/>
      <c r="D57" s="155"/>
      <c r="E57" s="155"/>
      <c r="F57" s="155" t="s">
        <v>426</v>
      </c>
      <c r="G57" s="162" t="s">
        <v>725</v>
      </c>
      <c r="H57" s="155"/>
      <c r="I57" s="155"/>
      <c r="J57" s="155"/>
      <c r="K57" s="155"/>
      <c r="L57" s="155"/>
      <c r="M57" s="155"/>
      <c r="N57" s="155"/>
      <c r="O57" s="217"/>
      <c r="P57" s="230"/>
      <c r="Q57" s="155"/>
      <c r="R57" s="155"/>
      <c r="S57" s="155"/>
      <c r="T57" s="155"/>
      <c r="U57" s="231"/>
      <c r="V57" s="229" t="s">
        <v>982</v>
      </c>
    </row>
    <row r="58" spans="1:22" ht="30" x14ac:dyDescent="0.25">
      <c r="A58" s="158" t="s">
        <v>34</v>
      </c>
      <c r="B58" s="155" t="s">
        <v>477</v>
      </c>
      <c r="C58" s="155" t="s">
        <v>466</v>
      </c>
      <c r="D58" s="155" t="s">
        <v>478</v>
      </c>
      <c r="E58" s="155"/>
      <c r="F58" s="155" t="s">
        <v>295</v>
      </c>
      <c r="G58" s="155" t="s">
        <v>468</v>
      </c>
      <c r="H58" s="155"/>
      <c r="I58" s="155" t="s">
        <v>491</v>
      </c>
      <c r="J58" s="155"/>
      <c r="K58" s="155"/>
      <c r="L58" s="155"/>
      <c r="M58" s="155"/>
      <c r="N58" s="155"/>
      <c r="O58" s="217"/>
      <c r="P58" s="230"/>
      <c r="Q58" s="155"/>
      <c r="R58" s="155"/>
      <c r="S58" s="155"/>
      <c r="T58" s="155"/>
      <c r="U58" s="231"/>
      <c r="V58" s="233" t="s">
        <v>727</v>
      </c>
    </row>
    <row r="59" spans="1:22" x14ac:dyDescent="0.25">
      <c r="B59" s="155"/>
      <c r="C59" s="155"/>
      <c r="D59" s="155"/>
      <c r="E59" s="155"/>
      <c r="F59" s="155" t="s">
        <v>302</v>
      </c>
      <c r="G59" s="155" t="s">
        <v>408</v>
      </c>
      <c r="H59" s="155"/>
      <c r="I59" s="155"/>
      <c r="J59" s="155"/>
      <c r="K59" s="155"/>
      <c r="L59" s="155"/>
      <c r="M59" s="155"/>
      <c r="N59" s="155"/>
      <c r="O59" s="217"/>
      <c r="P59" s="230"/>
      <c r="Q59" s="155"/>
      <c r="R59" s="155"/>
      <c r="S59" s="155"/>
      <c r="T59" s="155"/>
      <c r="U59" s="231"/>
      <c r="V59" s="229"/>
    </row>
    <row r="60" spans="1:22" ht="30" x14ac:dyDescent="0.25">
      <c r="A60" s="158" t="s">
        <v>34</v>
      </c>
      <c r="B60" s="155" t="s">
        <v>293</v>
      </c>
      <c r="C60" s="155" t="s">
        <v>293</v>
      </c>
      <c r="D60" s="155" t="s">
        <v>983</v>
      </c>
      <c r="E60" s="155" t="s">
        <v>248</v>
      </c>
      <c r="F60" s="155" t="s">
        <v>274</v>
      </c>
      <c r="G60" s="171">
        <f>200/37*G3</f>
        <v>1783.7837837837837</v>
      </c>
      <c r="H60" s="155"/>
      <c r="I60" s="155"/>
      <c r="J60" s="155"/>
      <c r="K60" s="155"/>
      <c r="L60" s="155"/>
      <c r="M60" s="155"/>
      <c r="N60" s="155"/>
      <c r="O60" s="217"/>
      <c r="P60" s="230"/>
      <c r="Q60" s="155"/>
      <c r="R60" s="155"/>
      <c r="S60" s="155"/>
      <c r="T60" s="155"/>
      <c r="U60" s="231"/>
      <c r="V60" s="229" t="s">
        <v>479</v>
      </c>
    </row>
    <row r="61" spans="1:22" ht="45" x14ac:dyDescent="0.25">
      <c r="B61" s="155"/>
      <c r="C61" s="155"/>
      <c r="D61" s="155"/>
      <c r="E61" s="155"/>
      <c r="F61" s="155" t="s">
        <v>294</v>
      </c>
      <c r="G61" s="155" t="s">
        <v>480</v>
      </c>
      <c r="H61" s="162"/>
      <c r="I61" s="155"/>
      <c r="J61" s="155"/>
      <c r="K61" s="155"/>
      <c r="L61" s="155"/>
      <c r="M61" s="155"/>
      <c r="N61" s="155"/>
      <c r="O61" s="217"/>
      <c r="P61" s="230"/>
      <c r="Q61" s="155"/>
      <c r="R61" s="155"/>
      <c r="S61" s="155"/>
      <c r="T61" s="155"/>
      <c r="U61" s="231"/>
      <c r="V61" s="229"/>
    </row>
    <row r="62" spans="1:22" x14ac:dyDescent="0.25">
      <c r="B62" s="155"/>
      <c r="C62" s="155"/>
      <c r="D62" s="155"/>
      <c r="E62" s="155"/>
      <c r="F62" s="155" t="s">
        <v>278</v>
      </c>
      <c r="G62" s="155" t="s">
        <v>276</v>
      </c>
      <c r="H62" s="155"/>
      <c r="I62" s="155"/>
      <c r="J62" s="155"/>
      <c r="K62" s="155"/>
      <c r="L62" s="155"/>
      <c r="M62" s="155"/>
      <c r="N62" s="155"/>
      <c r="O62" s="217"/>
      <c r="P62" s="230"/>
      <c r="Q62" s="155"/>
      <c r="R62" s="155"/>
      <c r="S62" s="155"/>
      <c r="T62" s="155"/>
      <c r="U62" s="231"/>
      <c r="V62" s="229" t="s">
        <v>481</v>
      </c>
    </row>
    <row r="63" spans="1:22" ht="30" x14ac:dyDescent="0.25">
      <c r="A63" s="158" t="s">
        <v>34</v>
      </c>
      <c r="B63" s="162" t="s">
        <v>293</v>
      </c>
      <c r="C63" s="162" t="s">
        <v>293</v>
      </c>
      <c r="D63" s="162" t="s">
        <v>984</v>
      </c>
      <c r="E63" s="162" t="s">
        <v>536</v>
      </c>
      <c r="F63" s="162" t="s">
        <v>274</v>
      </c>
      <c r="G63" s="236">
        <v>400</v>
      </c>
      <c r="H63" s="162"/>
      <c r="I63" s="162"/>
      <c r="J63" s="155"/>
      <c r="K63" s="155"/>
      <c r="L63" s="155"/>
      <c r="M63" s="155"/>
      <c r="N63" s="155"/>
      <c r="O63" s="217"/>
      <c r="P63" s="230"/>
      <c r="Q63" s="155"/>
      <c r="R63" s="155"/>
      <c r="S63" s="155"/>
      <c r="T63" s="155"/>
      <c r="U63" s="231"/>
      <c r="V63" s="233" t="s">
        <v>973</v>
      </c>
    </row>
    <row r="64" spans="1:22" ht="45" x14ac:dyDescent="0.25">
      <c r="B64" s="162"/>
      <c r="C64" s="162"/>
      <c r="D64" s="162"/>
      <c r="E64" s="162"/>
      <c r="F64" s="162" t="s">
        <v>294</v>
      </c>
      <c r="G64" s="162" t="s">
        <v>985</v>
      </c>
      <c r="H64" s="162"/>
      <c r="I64" s="162"/>
      <c r="J64" s="155"/>
      <c r="K64" s="155"/>
      <c r="L64" s="155"/>
      <c r="M64" s="155"/>
      <c r="N64" s="155"/>
      <c r="O64" s="217"/>
      <c r="P64" s="230"/>
      <c r="Q64" s="155"/>
      <c r="R64" s="155"/>
      <c r="S64" s="155"/>
      <c r="T64" s="155"/>
      <c r="U64" s="231"/>
      <c r="V64" s="229"/>
    </row>
    <row r="65" spans="1:22" x14ac:dyDescent="0.25">
      <c r="B65" s="162"/>
      <c r="C65" s="162"/>
      <c r="D65" s="162"/>
      <c r="E65" s="162"/>
      <c r="F65" s="162" t="s">
        <v>278</v>
      </c>
      <c r="G65" s="162" t="s">
        <v>276</v>
      </c>
      <c r="H65" s="162"/>
      <c r="I65" s="162"/>
      <c r="J65" s="155"/>
      <c r="K65" s="155"/>
      <c r="L65" s="155"/>
      <c r="M65" s="155"/>
      <c r="N65" s="155"/>
      <c r="O65" s="217"/>
      <c r="P65" s="230"/>
      <c r="Q65" s="155"/>
      <c r="R65" s="155"/>
      <c r="S65" s="155"/>
      <c r="T65" s="155"/>
      <c r="U65" s="231"/>
      <c r="V65" s="229"/>
    </row>
    <row r="66" spans="1:22" x14ac:dyDescent="0.25">
      <c r="A66" t="s">
        <v>979</v>
      </c>
      <c r="B66" s="162"/>
      <c r="C66" s="162"/>
      <c r="D66" s="162" t="s">
        <v>986</v>
      </c>
      <c r="E66" s="162"/>
      <c r="F66" s="162"/>
      <c r="G66" s="162"/>
      <c r="H66" s="162"/>
      <c r="I66" s="162"/>
      <c r="J66" s="155"/>
      <c r="K66" s="155"/>
      <c r="L66" s="155"/>
      <c r="M66" s="155"/>
      <c r="N66" s="155"/>
      <c r="O66" s="217"/>
      <c r="P66" s="230"/>
      <c r="Q66" s="155"/>
      <c r="R66" s="155"/>
      <c r="S66" s="155"/>
      <c r="T66" s="155"/>
      <c r="U66" s="231"/>
      <c r="V66" s="229"/>
    </row>
    <row r="67" spans="1:22" x14ac:dyDescent="0.25">
      <c r="B67" s="162"/>
      <c r="C67" s="162"/>
      <c r="D67" s="162"/>
      <c r="E67" s="162"/>
      <c r="F67" s="162"/>
      <c r="G67" s="162"/>
      <c r="H67" s="162"/>
      <c r="I67" s="162"/>
      <c r="J67" s="155"/>
      <c r="K67" s="155"/>
      <c r="L67" s="155"/>
      <c r="M67" s="155"/>
      <c r="N67" s="155"/>
      <c r="O67" s="217"/>
      <c r="P67" s="230"/>
      <c r="Q67" s="155"/>
      <c r="R67" s="155"/>
      <c r="S67" s="155"/>
      <c r="T67" s="155"/>
      <c r="U67" s="231"/>
      <c r="V67" s="229"/>
    </row>
    <row r="68" spans="1:22" x14ac:dyDescent="0.25">
      <c r="B68" s="162"/>
      <c r="C68" s="162"/>
      <c r="D68" s="162"/>
      <c r="E68" s="162"/>
      <c r="F68" s="162"/>
      <c r="G68" s="162"/>
      <c r="H68" s="162"/>
      <c r="I68" s="162"/>
      <c r="J68" s="155"/>
      <c r="K68" s="155"/>
      <c r="L68" s="155"/>
      <c r="M68" s="155"/>
      <c r="N68" s="155"/>
      <c r="O68" s="217"/>
      <c r="P68" s="230"/>
      <c r="Q68" s="155"/>
      <c r="R68" s="155"/>
      <c r="S68" s="155"/>
      <c r="T68" s="155"/>
      <c r="U68" s="231"/>
      <c r="V68" s="229"/>
    </row>
    <row r="69" spans="1:22" x14ac:dyDescent="0.25">
      <c r="B69" s="162"/>
      <c r="C69" s="162"/>
      <c r="D69" s="162"/>
      <c r="E69" s="162"/>
      <c r="F69" s="162"/>
      <c r="G69" s="162"/>
      <c r="H69" s="162"/>
      <c r="I69" s="162"/>
      <c r="J69" s="155"/>
      <c r="K69" s="155"/>
      <c r="L69" s="155"/>
      <c r="M69" s="155"/>
      <c r="N69" s="155"/>
      <c r="O69" s="217"/>
      <c r="P69" s="230"/>
      <c r="Q69" s="155"/>
      <c r="R69" s="155"/>
      <c r="S69" s="155"/>
      <c r="T69" s="155"/>
      <c r="U69" s="231"/>
      <c r="V69" s="229"/>
    </row>
    <row r="70" spans="1:22" x14ac:dyDescent="0.25">
      <c r="B70" s="162"/>
      <c r="C70" s="162"/>
      <c r="D70" s="162"/>
      <c r="E70" s="162"/>
      <c r="F70" s="162"/>
      <c r="G70" s="162"/>
      <c r="H70" s="162"/>
      <c r="I70" s="162"/>
      <c r="J70" s="155"/>
      <c r="K70" s="155"/>
      <c r="L70" s="155"/>
      <c r="M70" s="155"/>
      <c r="N70" s="155"/>
      <c r="O70" s="217"/>
      <c r="P70" s="230"/>
      <c r="Q70" s="155"/>
      <c r="R70" s="155"/>
      <c r="S70" s="155"/>
      <c r="T70" s="155"/>
      <c r="U70" s="231"/>
      <c r="V70" s="229"/>
    </row>
    <row r="71" spans="1:22" x14ac:dyDescent="0.25">
      <c r="B71" s="162"/>
      <c r="C71" s="162"/>
      <c r="D71" s="162"/>
      <c r="E71" s="162"/>
      <c r="F71" s="162"/>
      <c r="G71" s="162"/>
      <c r="H71" s="162"/>
      <c r="I71" s="162"/>
      <c r="J71" s="155"/>
      <c r="K71" s="155"/>
      <c r="L71" s="155"/>
      <c r="M71" s="155"/>
      <c r="N71" s="155"/>
      <c r="O71" s="217"/>
      <c r="P71" s="230"/>
      <c r="Q71" s="155"/>
      <c r="R71" s="155"/>
      <c r="S71" s="155"/>
      <c r="T71" s="155"/>
      <c r="U71" s="231"/>
      <c r="V71" s="229"/>
    </row>
    <row r="76" spans="1:22" x14ac:dyDescent="0.25">
      <c r="A76" s="158" t="s">
        <v>34</v>
      </c>
      <c r="B76" s="155" t="s">
        <v>400</v>
      </c>
      <c r="C76" s="155" t="s">
        <v>400</v>
      </c>
      <c r="D76" s="155" t="s">
        <v>987</v>
      </c>
      <c r="E76" s="155" t="s">
        <v>728</v>
      </c>
      <c r="F76" s="155" t="s">
        <v>274</v>
      </c>
      <c r="G76" s="188">
        <v>100</v>
      </c>
      <c r="H76" s="155"/>
      <c r="I76" s="155" t="s">
        <v>366</v>
      </c>
      <c r="J76" s="155"/>
      <c r="K76" s="155"/>
      <c r="L76" s="155"/>
      <c r="M76" s="155"/>
      <c r="N76" s="155"/>
      <c r="O76" s="217"/>
      <c r="P76" s="230"/>
      <c r="Q76" s="155"/>
      <c r="R76" s="155"/>
      <c r="S76" s="155"/>
      <c r="T76" s="155"/>
      <c r="U76" s="231"/>
      <c r="V76" s="229"/>
    </row>
    <row r="77" spans="1:22" x14ac:dyDescent="0.25">
      <c r="B77" s="155"/>
      <c r="C77" s="155"/>
      <c r="D77" s="155"/>
      <c r="E77" s="155"/>
      <c r="F77" s="155" t="s">
        <v>290</v>
      </c>
      <c r="G77" s="155" t="s">
        <v>401</v>
      </c>
      <c r="H77" s="155"/>
      <c r="I77" s="155"/>
      <c r="J77" s="155"/>
      <c r="K77" s="155"/>
      <c r="L77" s="155"/>
      <c r="M77" s="155"/>
      <c r="N77" s="155"/>
      <c r="O77" s="217"/>
      <c r="P77" s="230"/>
      <c r="Q77" s="155"/>
      <c r="R77" s="155"/>
      <c r="S77" s="155"/>
      <c r="T77" s="155"/>
      <c r="U77" s="231"/>
      <c r="V77" s="229"/>
    </row>
    <row r="78" spans="1:22" x14ac:dyDescent="0.25">
      <c r="B78" s="155"/>
      <c r="C78" s="155"/>
      <c r="D78" s="155"/>
      <c r="E78" s="155"/>
      <c r="F78" s="155" t="s">
        <v>277</v>
      </c>
      <c r="G78" s="155" t="s">
        <v>401</v>
      </c>
      <c r="H78" s="155"/>
      <c r="I78" s="155"/>
      <c r="J78" s="155"/>
      <c r="K78" s="155"/>
      <c r="L78" s="155"/>
      <c r="M78" s="155"/>
      <c r="N78" s="155"/>
      <c r="O78" s="217"/>
      <c r="P78" s="230"/>
      <c r="Q78" s="155"/>
      <c r="R78" s="155"/>
      <c r="S78" s="155"/>
      <c r="T78" s="155"/>
      <c r="U78" s="231"/>
      <c r="V78" s="229"/>
    </row>
    <row r="79" spans="1:22" x14ac:dyDescent="0.25">
      <c r="B79" s="155"/>
      <c r="C79" s="155"/>
      <c r="D79" s="155"/>
      <c r="E79" s="155"/>
      <c r="F79" s="155" t="s">
        <v>278</v>
      </c>
      <c r="G79" s="155" t="s">
        <v>408</v>
      </c>
      <c r="H79" s="155"/>
      <c r="I79" s="155"/>
      <c r="J79" s="155"/>
      <c r="K79" s="155"/>
      <c r="L79" s="155"/>
      <c r="M79" s="155"/>
      <c r="N79" s="155"/>
      <c r="O79" s="217"/>
      <c r="P79" s="230"/>
      <c r="Q79" s="155"/>
      <c r="R79" s="155"/>
      <c r="S79" s="155"/>
      <c r="T79" s="155"/>
      <c r="U79" s="231"/>
      <c r="V79" s="229"/>
    </row>
    <row r="80" spans="1:22" ht="30" x14ac:dyDescent="0.25">
      <c r="B80" s="155"/>
      <c r="C80" s="155"/>
      <c r="D80" s="155"/>
      <c r="E80" s="155"/>
      <c r="F80" s="155" t="s">
        <v>279</v>
      </c>
      <c r="G80" s="155" t="s">
        <v>403</v>
      </c>
      <c r="H80" s="155"/>
      <c r="I80" s="155"/>
      <c r="J80" s="155"/>
      <c r="K80" s="155"/>
      <c r="L80" s="155"/>
      <c r="M80" s="155"/>
      <c r="N80" s="155"/>
      <c r="O80" s="217"/>
      <c r="P80" s="230"/>
      <c r="Q80" s="155"/>
      <c r="R80" s="155"/>
      <c r="S80" s="155"/>
      <c r="T80" s="155"/>
      <c r="U80" s="231"/>
      <c r="V80" s="229"/>
    </row>
    <row r="81" spans="1:22" x14ac:dyDescent="0.25">
      <c r="A81" s="158" t="s">
        <v>34</v>
      </c>
      <c r="B81" s="155" t="s">
        <v>400</v>
      </c>
      <c r="C81" s="155" t="s">
        <v>400</v>
      </c>
      <c r="D81" s="155" t="s">
        <v>746</v>
      </c>
      <c r="E81" s="155" t="s">
        <v>536</v>
      </c>
      <c r="F81" s="155" t="s">
        <v>274</v>
      </c>
      <c r="G81" s="171">
        <f>6*0.786/1*G76</f>
        <v>471.6</v>
      </c>
      <c r="H81" s="155"/>
      <c r="I81" s="155" t="s">
        <v>366</v>
      </c>
      <c r="J81" s="155"/>
      <c r="K81" s="155"/>
      <c r="L81" s="155"/>
      <c r="M81" s="155"/>
      <c r="N81" s="155"/>
      <c r="O81" s="217"/>
      <c r="P81" s="230"/>
      <c r="Q81" s="155"/>
      <c r="R81" s="155"/>
      <c r="S81" s="155"/>
      <c r="T81" s="155"/>
      <c r="U81" s="231"/>
      <c r="V81" s="229"/>
    </row>
    <row r="82" spans="1:22" x14ac:dyDescent="0.25">
      <c r="B82" s="155"/>
      <c r="C82" s="155"/>
      <c r="D82" s="155"/>
      <c r="E82" s="155"/>
      <c r="F82" s="155" t="s">
        <v>290</v>
      </c>
      <c r="G82" s="155" t="s">
        <v>401</v>
      </c>
      <c r="H82" s="155"/>
      <c r="I82" s="155"/>
      <c r="J82" s="155"/>
      <c r="K82" s="155"/>
      <c r="L82" s="155"/>
      <c r="M82" s="155"/>
      <c r="N82" s="155"/>
      <c r="O82" s="217"/>
      <c r="P82" s="230"/>
      <c r="Q82" s="155"/>
      <c r="R82" s="155"/>
      <c r="S82" s="155"/>
      <c r="T82" s="155"/>
      <c r="U82" s="231"/>
      <c r="V82" s="229"/>
    </row>
    <row r="83" spans="1:22" x14ac:dyDescent="0.25">
      <c r="B83" s="155"/>
      <c r="C83" s="155"/>
      <c r="D83" s="155"/>
      <c r="E83" s="155"/>
      <c r="F83" s="155" t="s">
        <v>277</v>
      </c>
      <c r="G83" s="155" t="s">
        <v>401</v>
      </c>
      <c r="H83" s="155"/>
      <c r="I83" s="155"/>
      <c r="J83" s="155"/>
      <c r="K83" s="155"/>
      <c r="L83" s="155"/>
      <c r="M83" s="155"/>
      <c r="N83" s="155"/>
      <c r="O83" s="217"/>
      <c r="P83" s="230"/>
      <c r="Q83" s="155"/>
      <c r="R83" s="155"/>
      <c r="S83" s="155"/>
      <c r="T83" s="155"/>
      <c r="U83" s="231"/>
      <c r="V83" s="229"/>
    </row>
    <row r="84" spans="1:22" x14ac:dyDescent="0.25">
      <c r="B84" s="155"/>
      <c r="C84" s="155"/>
      <c r="D84" s="155"/>
      <c r="E84" s="155"/>
      <c r="F84" s="155" t="s">
        <v>278</v>
      </c>
      <c r="G84" s="155" t="s">
        <v>408</v>
      </c>
      <c r="H84" s="155"/>
      <c r="I84" s="155"/>
      <c r="J84" s="155"/>
      <c r="K84" s="155"/>
      <c r="L84" s="155"/>
      <c r="M84" s="155"/>
      <c r="N84" s="155"/>
      <c r="O84" s="217"/>
      <c r="P84" s="230"/>
      <c r="Q84" s="155"/>
      <c r="R84" s="155"/>
      <c r="S84" s="155"/>
      <c r="T84" s="155"/>
      <c r="U84" s="231"/>
      <c r="V84" s="229"/>
    </row>
    <row r="85" spans="1:22" ht="30" x14ac:dyDescent="0.25">
      <c r="B85" s="155"/>
      <c r="C85" s="155"/>
      <c r="D85" s="155"/>
      <c r="E85" s="155"/>
      <c r="F85" s="155" t="s">
        <v>279</v>
      </c>
      <c r="G85" s="155" t="s">
        <v>403</v>
      </c>
      <c r="H85" s="155"/>
      <c r="I85" s="155"/>
      <c r="J85" s="155"/>
      <c r="K85" s="155"/>
      <c r="L85" s="155"/>
      <c r="M85" s="155"/>
      <c r="N85" s="155"/>
      <c r="O85" s="217"/>
      <c r="P85" s="230"/>
      <c r="Q85" s="155"/>
      <c r="R85" s="155"/>
      <c r="S85" s="155"/>
      <c r="T85" s="155"/>
      <c r="U85" s="231"/>
      <c r="V85" s="229"/>
    </row>
    <row r="86" spans="1:22" ht="30" x14ac:dyDescent="0.25">
      <c r="A86" s="158" t="s">
        <v>34</v>
      </c>
      <c r="B86" s="155" t="s">
        <v>338</v>
      </c>
      <c r="C86" s="155" t="s">
        <v>412</v>
      </c>
      <c r="D86" s="155" t="s">
        <v>730</v>
      </c>
      <c r="E86" s="155"/>
      <c r="F86" s="155" t="s">
        <v>290</v>
      </c>
      <c r="G86" s="155" t="s">
        <v>747</v>
      </c>
      <c r="H86" s="155"/>
      <c r="I86" s="155" t="s">
        <v>366</v>
      </c>
      <c r="J86" s="155"/>
      <c r="K86" s="155"/>
      <c r="L86" s="155"/>
      <c r="M86" s="155"/>
      <c r="N86" s="155"/>
      <c r="O86" s="217"/>
      <c r="P86" s="230"/>
      <c r="Q86" s="155"/>
      <c r="R86" s="155"/>
      <c r="S86" s="155"/>
      <c r="T86" s="155"/>
      <c r="U86" s="231"/>
      <c r="V86" s="233" t="s">
        <v>974</v>
      </c>
    </row>
    <row r="87" spans="1:22" x14ac:dyDescent="0.25">
      <c r="B87" s="155"/>
      <c r="C87" s="155"/>
      <c r="D87" s="155"/>
      <c r="E87" s="155"/>
      <c r="F87" s="155" t="s">
        <v>291</v>
      </c>
      <c r="G87" s="155" t="s">
        <v>748</v>
      </c>
      <c r="H87" s="155"/>
      <c r="I87" s="155"/>
      <c r="J87" s="155"/>
      <c r="K87" s="155"/>
      <c r="L87" s="155"/>
      <c r="M87" s="155"/>
      <c r="N87" s="155"/>
      <c r="O87" s="217"/>
      <c r="P87" s="230"/>
      <c r="Q87" s="155"/>
      <c r="R87" s="155"/>
      <c r="S87" s="155"/>
      <c r="T87" s="155"/>
      <c r="U87" s="231"/>
      <c r="V87" s="233" t="s">
        <v>975</v>
      </c>
    </row>
    <row r="88" spans="1:22" x14ac:dyDescent="0.25">
      <c r="B88" s="155"/>
      <c r="C88" s="155"/>
      <c r="D88" s="155"/>
      <c r="E88" s="155"/>
      <c r="F88" s="155" t="s">
        <v>278</v>
      </c>
      <c r="G88" s="155" t="s">
        <v>305</v>
      </c>
      <c r="H88" s="162"/>
      <c r="I88" s="155"/>
      <c r="J88" s="155"/>
      <c r="K88" s="155"/>
      <c r="L88" s="155"/>
      <c r="M88" s="155"/>
      <c r="N88" s="155"/>
      <c r="O88" s="217"/>
      <c r="P88" s="230"/>
      <c r="Q88" s="155"/>
      <c r="R88" s="155"/>
      <c r="S88" s="155"/>
      <c r="T88" s="155"/>
      <c r="U88" s="231"/>
      <c r="V88" s="229"/>
    </row>
    <row r="89" spans="1:22" x14ac:dyDescent="0.25">
      <c r="B89" s="155"/>
      <c r="C89" s="155"/>
      <c r="D89" s="155"/>
      <c r="E89" s="155"/>
      <c r="F89" s="155" t="s">
        <v>284</v>
      </c>
      <c r="G89" s="155" t="s">
        <v>476</v>
      </c>
      <c r="H89" s="155"/>
      <c r="I89" s="155"/>
      <c r="J89" s="155"/>
      <c r="K89" s="155"/>
      <c r="L89" s="155"/>
      <c r="M89" s="155"/>
      <c r="N89" s="155"/>
      <c r="O89" s="217"/>
      <c r="P89" s="230"/>
      <c r="Q89" s="155"/>
      <c r="R89" s="155"/>
      <c r="S89" s="155"/>
      <c r="T89" s="155"/>
      <c r="U89" s="231"/>
      <c r="V89" s="229"/>
    </row>
    <row r="90" spans="1:22" x14ac:dyDescent="0.25">
      <c r="B90" s="155"/>
      <c r="C90" s="155"/>
      <c r="D90" s="155"/>
      <c r="E90" s="155"/>
      <c r="F90" s="155" t="s">
        <v>426</v>
      </c>
      <c r="G90" s="162" t="s">
        <v>437</v>
      </c>
      <c r="H90" s="155"/>
      <c r="I90" s="155"/>
      <c r="J90" s="155"/>
      <c r="K90" s="155"/>
      <c r="L90" s="155"/>
      <c r="M90" s="155"/>
      <c r="N90" s="155"/>
      <c r="O90" s="217"/>
      <c r="P90" s="230"/>
      <c r="Q90" s="155"/>
      <c r="R90" s="155"/>
      <c r="S90" s="155"/>
      <c r="T90" s="155"/>
      <c r="U90" s="231"/>
      <c r="V90" s="229"/>
    </row>
    <row r="91" spans="1:22" ht="30" x14ac:dyDescent="0.25">
      <c r="A91" s="158" t="s">
        <v>34</v>
      </c>
      <c r="B91" s="155" t="s">
        <v>465</v>
      </c>
      <c r="C91" s="155" t="s">
        <v>466</v>
      </c>
      <c r="D91" s="155" t="s">
        <v>731</v>
      </c>
      <c r="E91" s="155"/>
      <c r="F91" s="155" t="s">
        <v>295</v>
      </c>
      <c r="G91" s="155" t="s">
        <v>468</v>
      </c>
      <c r="H91" s="155"/>
      <c r="I91" s="155" t="s">
        <v>491</v>
      </c>
      <c r="J91" s="155"/>
      <c r="K91" s="155"/>
      <c r="L91" s="155"/>
      <c r="M91" s="155"/>
      <c r="N91" s="155"/>
      <c r="O91" s="217"/>
      <c r="P91" s="230"/>
      <c r="Q91" s="155"/>
      <c r="R91" s="155"/>
      <c r="S91" s="155"/>
      <c r="T91" s="155"/>
      <c r="U91" s="231"/>
      <c r="V91" s="229" t="s">
        <v>732</v>
      </c>
    </row>
    <row r="92" spans="1:22" x14ac:dyDescent="0.25">
      <c r="B92" s="155"/>
      <c r="C92" s="155"/>
      <c r="D92" s="155"/>
      <c r="E92" s="155"/>
      <c r="F92" s="155" t="s">
        <v>302</v>
      </c>
      <c r="G92" s="155" t="s">
        <v>408</v>
      </c>
      <c r="H92" s="155"/>
      <c r="I92" s="155"/>
      <c r="J92" s="155"/>
      <c r="K92" s="155"/>
      <c r="L92" s="155"/>
      <c r="M92" s="155"/>
      <c r="N92" s="155"/>
      <c r="O92" s="217"/>
      <c r="P92" s="230"/>
      <c r="Q92" s="155"/>
      <c r="R92" s="155"/>
      <c r="S92" s="155"/>
      <c r="T92" s="155"/>
      <c r="U92" s="231"/>
      <c r="V92" s="229"/>
    </row>
    <row r="93" spans="1:22" x14ac:dyDescent="0.25">
      <c r="A93" s="158" t="s">
        <v>34</v>
      </c>
      <c r="B93" s="155" t="s">
        <v>400</v>
      </c>
      <c r="C93" s="155" t="s">
        <v>400</v>
      </c>
      <c r="D93" s="155" t="s">
        <v>745</v>
      </c>
      <c r="E93" s="155" t="s">
        <v>733</v>
      </c>
      <c r="F93" s="155" t="s">
        <v>274</v>
      </c>
      <c r="G93" s="171">
        <f>1.16*0.79/1*G76</f>
        <v>91.64</v>
      </c>
      <c r="H93" s="155"/>
      <c r="I93" s="155" t="s">
        <v>366</v>
      </c>
      <c r="J93" s="155"/>
      <c r="K93" s="155"/>
      <c r="L93" s="155"/>
      <c r="M93" s="155"/>
      <c r="N93" s="155"/>
      <c r="O93" s="217"/>
      <c r="P93" s="230"/>
      <c r="Q93" s="155"/>
      <c r="R93" s="155"/>
      <c r="S93" s="155"/>
      <c r="T93" s="155"/>
      <c r="U93" s="231"/>
      <c r="V93" s="229" t="s">
        <v>734</v>
      </c>
    </row>
    <row r="94" spans="1:22" x14ac:dyDescent="0.25">
      <c r="B94" s="155"/>
      <c r="C94" s="155"/>
      <c r="D94" s="155"/>
      <c r="E94" s="155"/>
      <c r="F94" s="155" t="s">
        <v>290</v>
      </c>
      <c r="G94" s="155" t="s">
        <v>323</v>
      </c>
      <c r="H94" s="155"/>
      <c r="I94" s="155"/>
      <c r="J94" s="155"/>
      <c r="K94" s="155"/>
      <c r="L94" s="155"/>
      <c r="M94" s="155"/>
      <c r="N94" s="155"/>
      <c r="O94" s="217"/>
      <c r="P94" s="230"/>
      <c r="Q94" s="155"/>
      <c r="R94" s="155"/>
      <c r="S94" s="155"/>
      <c r="T94" s="155"/>
      <c r="U94" s="231"/>
      <c r="V94" s="229"/>
    </row>
    <row r="95" spans="1:22" x14ac:dyDescent="0.25">
      <c r="B95" s="155"/>
      <c r="C95" s="155"/>
      <c r="D95" s="155"/>
      <c r="E95" s="155"/>
      <c r="F95" s="155" t="s">
        <v>277</v>
      </c>
      <c r="G95" s="155" t="s">
        <v>988</v>
      </c>
      <c r="H95" s="155"/>
      <c r="I95" s="155"/>
      <c r="J95" s="155"/>
      <c r="K95" s="155"/>
      <c r="L95" s="155"/>
      <c r="M95" s="155"/>
      <c r="N95" s="155"/>
      <c r="O95" s="217"/>
      <c r="P95" s="230"/>
      <c r="Q95" s="155"/>
      <c r="R95" s="155"/>
      <c r="S95" s="155"/>
      <c r="T95" s="155"/>
      <c r="U95" s="231"/>
      <c r="V95" s="229" t="s">
        <v>989</v>
      </c>
    </row>
    <row r="96" spans="1:22" x14ac:dyDescent="0.25">
      <c r="B96" s="155"/>
      <c r="C96" s="155"/>
      <c r="D96" s="155"/>
      <c r="E96" s="155"/>
      <c r="F96" s="155" t="s">
        <v>278</v>
      </c>
      <c r="G96" s="155" t="s">
        <v>408</v>
      </c>
      <c r="H96" s="155"/>
      <c r="I96" s="155"/>
      <c r="J96" s="155"/>
      <c r="K96" s="155"/>
      <c r="L96" s="155"/>
      <c r="M96" s="155"/>
      <c r="N96" s="155"/>
      <c r="O96" s="217"/>
      <c r="P96" s="230"/>
      <c r="Q96" s="155"/>
      <c r="R96" s="155"/>
      <c r="S96" s="155"/>
      <c r="T96" s="155"/>
      <c r="U96" s="231"/>
      <c r="V96" s="229"/>
    </row>
    <row r="97" spans="1:22" ht="30" x14ac:dyDescent="0.25">
      <c r="B97" s="155"/>
      <c r="C97" s="155"/>
      <c r="D97" s="155"/>
      <c r="E97" s="155"/>
      <c r="F97" s="155" t="s">
        <v>279</v>
      </c>
      <c r="G97" s="155" t="s">
        <v>367</v>
      </c>
      <c r="H97" s="155"/>
      <c r="I97" s="155"/>
      <c r="J97" s="155"/>
      <c r="K97" s="155"/>
      <c r="L97" s="155"/>
      <c r="M97" s="155"/>
      <c r="N97" s="155"/>
      <c r="O97" s="217"/>
      <c r="P97" s="230"/>
      <c r="Q97" s="155"/>
      <c r="R97" s="155"/>
      <c r="S97" s="155"/>
      <c r="T97" s="155"/>
      <c r="U97" s="231"/>
      <c r="V97" s="229"/>
    </row>
    <row r="98" spans="1:22" x14ac:dyDescent="0.25">
      <c r="A98" s="158" t="s">
        <v>34</v>
      </c>
      <c r="B98" s="155" t="s">
        <v>338</v>
      </c>
      <c r="C98" s="155" t="s">
        <v>285</v>
      </c>
      <c r="D98" s="155" t="s">
        <v>735</v>
      </c>
      <c r="E98" s="155"/>
      <c r="F98" s="155" t="s">
        <v>290</v>
      </c>
      <c r="G98" s="155" t="s">
        <v>323</v>
      </c>
      <c r="H98" s="155"/>
      <c r="I98" s="155" t="s">
        <v>366</v>
      </c>
      <c r="J98" s="155"/>
      <c r="K98" s="155"/>
      <c r="L98" s="155"/>
      <c r="M98" s="155"/>
      <c r="N98" s="155"/>
      <c r="O98" s="217"/>
      <c r="P98" s="230"/>
      <c r="Q98" s="155"/>
      <c r="R98" s="155"/>
      <c r="S98" s="155"/>
      <c r="T98" s="155"/>
      <c r="U98" s="231"/>
      <c r="V98" s="229"/>
    </row>
    <row r="99" spans="1:22" x14ac:dyDescent="0.25">
      <c r="B99" s="155"/>
      <c r="C99" s="155"/>
      <c r="D99" s="155"/>
      <c r="E99" s="155"/>
      <c r="F99" s="155" t="s">
        <v>291</v>
      </c>
      <c r="G99" s="155" t="s">
        <v>736</v>
      </c>
      <c r="H99" s="155"/>
      <c r="I99" s="155"/>
      <c r="J99" s="155"/>
      <c r="K99" s="155"/>
      <c r="L99" s="155"/>
      <c r="M99" s="155"/>
      <c r="N99" s="155"/>
      <c r="O99" s="217"/>
      <c r="P99" s="230"/>
      <c r="Q99" s="155"/>
      <c r="R99" s="155"/>
      <c r="S99" s="155"/>
      <c r="T99" s="155"/>
      <c r="U99" s="231"/>
      <c r="V99" s="229"/>
    </row>
    <row r="100" spans="1:22" x14ac:dyDescent="0.25">
      <c r="B100" s="155"/>
      <c r="C100" s="155"/>
      <c r="D100" s="155"/>
      <c r="E100" s="155"/>
      <c r="F100" s="155" t="s">
        <v>278</v>
      </c>
      <c r="G100" s="155" t="s">
        <v>305</v>
      </c>
      <c r="H100" s="162"/>
      <c r="I100" s="155"/>
      <c r="J100" s="155"/>
      <c r="K100" s="155"/>
      <c r="L100" s="155"/>
      <c r="M100" s="155"/>
      <c r="N100" s="155"/>
      <c r="O100" s="217"/>
      <c r="P100" s="230"/>
      <c r="Q100" s="155"/>
      <c r="R100" s="155"/>
      <c r="S100" s="155"/>
      <c r="T100" s="155"/>
      <c r="U100" s="231"/>
      <c r="V100" s="229"/>
    </row>
    <row r="101" spans="1:22" x14ac:dyDescent="0.25">
      <c r="B101" s="155"/>
      <c r="C101" s="155"/>
      <c r="D101" s="155"/>
      <c r="E101" s="155"/>
      <c r="F101" s="155" t="s">
        <v>284</v>
      </c>
      <c r="G101" s="155" t="s">
        <v>738</v>
      </c>
      <c r="H101" s="155"/>
      <c r="I101" s="155"/>
      <c r="J101" s="155"/>
      <c r="K101" s="155"/>
      <c r="L101" s="155"/>
      <c r="M101" s="155"/>
      <c r="N101" s="155"/>
      <c r="O101" s="217"/>
      <c r="P101" s="230"/>
      <c r="Q101" s="155"/>
      <c r="R101" s="155"/>
      <c r="S101" s="155"/>
      <c r="T101" s="155"/>
      <c r="U101" s="231"/>
      <c r="V101" s="229"/>
    </row>
    <row r="102" spans="1:22" x14ac:dyDescent="0.25">
      <c r="B102" s="155"/>
      <c r="C102" s="155"/>
      <c r="D102" s="155"/>
      <c r="E102" s="155"/>
      <c r="F102" s="155" t="s">
        <v>426</v>
      </c>
      <c r="G102" s="162" t="s">
        <v>737</v>
      </c>
      <c r="H102" s="155"/>
      <c r="I102" s="155"/>
      <c r="J102" s="155"/>
      <c r="K102" s="155"/>
      <c r="L102" s="155"/>
      <c r="M102" s="155"/>
      <c r="N102" s="155"/>
      <c r="O102" s="217"/>
      <c r="P102" s="230"/>
      <c r="Q102" s="155"/>
      <c r="R102" s="155"/>
      <c r="S102" s="155"/>
      <c r="T102" s="155"/>
      <c r="U102" s="231"/>
      <c r="V102" s="229"/>
    </row>
    <row r="103" spans="1:22" ht="30" x14ac:dyDescent="0.25">
      <c r="A103" s="158" t="s">
        <v>34</v>
      </c>
      <c r="B103" s="155" t="s">
        <v>465</v>
      </c>
      <c r="C103" s="155" t="s">
        <v>466</v>
      </c>
      <c r="D103" s="155" t="s">
        <v>739</v>
      </c>
      <c r="E103" s="155"/>
      <c r="F103" s="155" t="s">
        <v>295</v>
      </c>
      <c r="G103" s="155" t="s">
        <v>468</v>
      </c>
      <c r="H103" s="155"/>
      <c r="I103" s="155" t="s">
        <v>491</v>
      </c>
      <c r="J103" s="155"/>
      <c r="K103" s="155"/>
      <c r="L103" s="155"/>
      <c r="M103" s="155"/>
      <c r="N103" s="155"/>
      <c r="O103" s="217"/>
      <c r="P103" s="230"/>
      <c r="Q103" s="155"/>
      <c r="R103" s="155"/>
      <c r="S103" s="155"/>
      <c r="T103" s="155"/>
      <c r="U103" s="231"/>
      <c r="V103" s="229"/>
    </row>
    <row r="104" spans="1:22" x14ac:dyDescent="0.25">
      <c r="B104" s="155"/>
      <c r="C104" s="155"/>
      <c r="D104" s="155"/>
      <c r="E104" s="155"/>
      <c r="F104" s="155" t="s">
        <v>302</v>
      </c>
      <c r="G104" s="155" t="s">
        <v>408</v>
      </c>
      <c r="H104" s="155"/>
      <c r="I104" s="155"/>
      <c r="J104" s="155"/>
      <c r="K104" s="155"/>
      <c r="L104" s="155"/>
      <c r="M104" s="155"/>
      <c r="N104" s="155"/>
      <c r="O104" s="217"/>
      <c r="P104" s="230"/>
      <c r="Q104" s="155"/>
      <c r="R104" s="155"/>
      <c r="S104" s="155"/>
      <c r="T104" s="155"/>
      <c r="U104" s="231"/>
      <c r="V104" s="229"/>
    </row>
    <row r="105" spans="1:22" ht="30" x14ac:dyDescent="0.25">
      <c r="A105" s="158" t="s">
        <v>34</v>
      </c>
      <c r="B105" s="155" t="s">
        <v>293</v>
      </c>
      <c r="C105" s="155" t="s">
        <v>293</v>
      </c>
      <c r="D105" s="155" t="s">
        <v>744</v>
      </c>
      <c r="E105" s="155" t="s">
        <v>252</v>
      </c>
      <c r="F105" s="155" t="s">
        <v>729</v>
      </c>
      <c r="G105" s="171">
        <f>6*0.791/1*G76</f>
        <v>474.6</v>
      </c>
      <c r="H105" s="155"/>
      <c r="I105" s="155"/>
      <c r="J105" s="155"/>
      <c r="K105" s="155"/>
      <c r="L105" s="155"/>
      <c r="M105" s="155"/>
      <c r="N105" s="155"/>
      <c r="O105" s="217"/>
      <c r="P105" s="230"/>
      <c r="Q105" s="155"/>
      <c r="R105" s="155"/>
      <c r="S105" s="155"/>
      <c r="T105" s="155"/>
      <c r="U105" s="231"/>
      <c r="V105" s="229" t="s">
        <v>740</v>
      </c>
    </row>
    <row r="106" spans="1:22" ht="45" x14ac:dyDescent="0.25">
      <c r="B106" s="155"/>
      <c r="C106" s="155"/>
      <c r="D106" s="155"/>
      <c r="E106" s="155"/>
      <c r="F106" s="155" t="s">
        <v>294</v>
      </c>
      <c r="G106" s="155" t="s">
        <v>480</v>
      </c>
      <c r="H106" s="162"/>
      <c r="I106" s="155"/>
      <c r="J106" s="155"/>
      <c r="K106" s="155"/>
      <c r="L106" s="155"/>
      <c r="M106" s="155"/>
      <c r="N106" s="155"/>
      <c r="O106" s="217"/>
      <c r="P106" s="230"/>
      <c r="Q106" s="155"/>
      <c r="R106" s="155"/>
      <c r="S106" s="155"/>
      <c r="T106" s="155"/>
      <c r="U106" s="231"/>
      <c r="V106" s="233" t="s">
        <v>990</v>
      </c>
    </row>
    <row r="107" spans="1:22" x14ac:dyDescent="0.25">
      <c r="B107" s="155"/>
      <c r="C107" s="155"/>
      <c r="D107" s="155"/>
      <c r="E107" s="155"/>
      <c r="F107" s="155" t="s">
        <v>278</v>
      </c>
      <c r="G107" s="155" t="s">
        <v>276</v>
      </c>
      <c r="H107" s="155"/>
      <c r="I107" s="155"/>
      <c r="J107" s="155"/>
      <c r="K107" s="155"/>
      <c r="L107" s="155"/>
      <c r="M107" s="155"/>
      <c r="N107" s="155"/>
      <c r="O107" s="217"/>
      <c r="P107" s="230"/>
      <c r="Q107" s="155"/>
      <c r="R107" s="155"/>
      <c r="S107" s="155"/>
      <c r="T107" s="155"/>
      <c r="U107" s="231"/>
      <c r="V107" s="229"/>
    </row>
    <row r="108" spans="1:22" ht="30" x14ac:dyDescent="0.25">
      <c r="A108" s="158" t="s">
        <v>34</v>
      </c>
      <c r="B108" s="155" t="s">
        <v>417</v>
      </c>
      <c r="C108" s="155" t="s">
        <v>433</v>
      </c>
      <c r="D108" s="155" t="s">
        <v>742</v>
      </c>
      <c r="E108" s="155"/>
      <c r="F108" s="155" t="s">
        <v>290</v>
      </c>
      <c r="G108" s="155" t="s">
        <v>743</v>
      </c>
      <c r="H108" s="155"/>
      <c r="I108" s="155" t="s">
        <v>482</v>
      </c>
      <c r="J108" s="155"/>
      <c r="K108" s="155"/>
      <c r="L108" s="155"/>
      <c r="M108" s="155"/>
      <c r="N108" s="155"/>
      <c r="O108" s="217"/>
      <c r="P108" s="230"/>
      <c r="Q108" s="155"/>
      <c r="R108" s="155"/>
      <c r="S108" s="155"/>
      <c r="T108" s="155"/>
      <c r="U108" s="231"/>
      <c r="V108" s="233" t="s">
        <v>741</v>
      </c>
    </row>
    <row r="109" spans="1:22" ht="30" x14ac:dyDescent="0.25">
      <c r="B109" s="155"/>
      <c r="C109" s="155"/>
      <c r="D109" s="155"/>
      <c r="E109" s="155"/>
      <c r="F109" s="155" t="s">
        <v>434</v>
      </c>
      <c r="G109" s="155" t="s">
        <v>276</v>
      </c>
      <c r="H109" s="155"/>
      <c r="I109" s="155"/>
      <c r="J109" s="155"/>
      <c r="K109" s="155"/>
      <c r="L109" s="155"/>
      <c r="M109" s="155"/>
      <c r="N109" s="155"/>
      <c r="O109" s="217"/>
      <c r="P109" s="230"/>
      <c r="Q109" s="155"/>
      <c r="R109" s="155"/>
      <c r="S109" s="155"/>
      <c r="T109" s="155"/>
      <c r="U109" s="231"/>
      <c r="V109" s="233" t="s">
        <v>976</v>
      </c>
    </row>
    <row r="110" spans="1:22" x14ac:dyDescent="0.25">
      <c r="B110" s="155"/>
      <c r="C110" s="155"/>
      <c r="D110" s="155"/>
      <c r="E110" s="155"/>
      <c r="F110" s="155" t="s">
        <v>302</v>
      </c>
      <c r="G110" s="155" t="s">
        <v>486</v>
      </c>
      <c r="H110" s="162"/>
      <c r="I110" s="155"/>
      <c r="J110" s="155"/>
      <c r="K110" s="155"/>
      <c r="L110" s="155"/>
      <c r="M110" s="155"/>
      <c r="N110" s="155"/>
      <c r="O110" s="217"/>
      <c r="P110" s="230"/>
      <c r="Q110" s="155"/>
      <c r="R110" s="155"/>
      <c r="S110" s="155"/>
      <c r="T110" s="155"/>
      <c r="U110" s="231"/>
      <c r="V110" s="229"/>
    </row>
    <row r="111" spans="1:22" ht="30" x14ac:dyDescent="0.25">
      <c r="B111" s="155"/>
      <c r="C111" s="155"/>
      <c r="D111" s="155"/>
      <c r="E111" s="155"/>
      <c r="F111" s="155" t="s">
        <v>435</v>
      </c>
      <c r="G111" s="155" t="s">
        <v>487</v>
      </c>
      <c r="H111" s="155"/>
      <c r="I111" s="155"/>
      <c r="J111" s="155"/>
      <c r="K111" s="155"/>
      <c r="L111" s="155"/>
      <c r="M111" s="155"/>
      <c r="N111" s="155"/>
      <c r="O111" s="217"/>
      <c r="P111" s="230"/>
      <c r="Q111" s="155"/>
      <c r="R111" s="155"/>
      <c r="S111" s="155"/>
      <c r="T111" s="155"/>
      <c r="U111" s="231"/>
      <c r="V111" s="229"/>
    </row>
    <row r="112" spans="1:22" ht="30" x14ac:dyDescent="0.25">
      <c r="B112" s="155"/>
      <c r="C112" s="155"/>
      <c r="D112" s="155"/>
      <c r="E112" s="155"/>
      <c r="F112" s="155" t="s">
        <v>436</v>
      </c>
      <c r="G112" s="155" t="s">
        <v>488</v>
      </c>
      <c r="H112" s="155"/>
      <c r="I112" s="155"/>
      <c r="J112" s="155"/>
      <c r="K112" s="155"/>
      <c r="L112" s="155"/>
      <c r="M112" s="155"/>
      <c r="N112" s="155"/>
      <c r="O112" s="217"/>
      <c r="P112" s="230"/>
      <c r="Q112" s="155"/>
      <c r="R112" s="155"/>
      <c r="S112" s="155"/>
      <c r="T112" s="155"/>
      <c r="U112" s="231"/>
      <c r="V112" s="229"/>
    </row>
    <row r="113" spans="1:27" x14ac:dyDescent="0.25">
      <c r="B113" s="155"/>
      <c r="C113" s="155"/>
      <c r="D113" s="155"/>
      <c r="E113" s="155"/>
      <c r="F113" s="155" t="s">
        <v>284</v>
      </c>
      <c r="G113" s="155" t="s">
        <v>483</v>
      </c>
      <c r="H113" s="155"/>
      <c r="I113" s="155"/>
      <c r="J113" s="155"/>
      <c r="K113" s="155"/>
      <c r="L113" s="155"/>
      <c r="M113" s="155"/>
      <c r="N113" s="155"/>
      <c r="O113" s="217"/>
      <c r="P113" s="230"/>
      <c r="Q113" s="155"/>
      <c r="R113" s="155"/>
      <c r="S113" s="155"/>
      <c r="T113" s="155"/>
      <c r="U113" s="231"/>
      <c r="V113" s="229"/>
    </row>
    <row r="114" spans="1:27" x14ac:dyDescent="0.25">
      <c r="B114" s="235"/>
      <c r="V114" s="124" t="s">
        <v>991</v>
      </c>
    </row>
    <row r="115" spans="1:27" x14ac:dyDescent="0.25">
      <c r="B115" s="235"/>
    </row>
    <row r="117" spans="1:27" s="185" customFormat="1" ht="60" x14ac:dyDescent="0.25">
      <c r="A117" s="158" t="s">
        <v>34</v>
      </c>
      <c r="B117" s="155" t="s">
        <v>541</v>
      </c>
      <c r="C117" s="155"/>
      <c r="D117" s="155"/>
      <c r="E117" s="155" t="s">
        <v>542</v>
      </c>
      <c r="F117" s="155" t="s">
        <v>543</v>
      </c>
      <c r="G117" s="172" t="s">
        <v>544</v>
      </c>
      <c r="H117" s="155"/>
      <c r="I117" s="171"/>
      <c r="J117" s="155"/>
      <c r="K117" s="155"/>
      <c r="L117" s="157"/>
      <c r="M117" s="157">
        <v>2</v>
      </c>
      <c r="N117" s="157">
        <v>3</v>
      </c>
      <c r="O117" s="157"/>
      <c r="P117" s="220"/>
      <c r="Q117" s="220"/>
      <c r="R117" s="220"/>
      <c r="S117" s="220"/>
      <c r="T117" s="220"/>
      <c r="U117" s="220"/>
      <c r="V117" s="220"/>
      <c r="W117"/>
      <c r="X117"/>
    </row>
    <row r="118" spans="1:27" s="185" customFormat="1" ht="30" x14ac:dyDescent="0.25">
      <c r="B118" s="155"/>
      <c r="C118" s="155"/>
      <c r="D118" s="155"/>
      <c r="E118" s="155"/>
      <c r="F118" s="155" t="s">
        <v>545</v>
      </c>
      <c r="G118" s="253" t="s">
        <v>910</v>
      </c>
      <c r="H118" s="155"/>
      <c r="I118" s="171"/>
      <c r="J118" s="155"/>
      <c r="K118" s="155"/>
      <c r="L118" s="157"/>
      <c r="M118" s="157"/>
      <c r="N118" s="157"/>
      <c r="O118" s="157"/>
      <c r="P118" s="220"/>
      <c r="Q118" s="220"/>
      <c r="R118" s="220"/>
      <c r="S118" s="220"/>
      <c r="T118" s="220"/>
      <c r="U118" s="220"/>
      <c r="V118" s="220"/>
      <c r="W118"/>
      <c r="X118"/>
    </row>
    <row r="119" spans="1:27" s="185" customFormat="1" x14ac:dyDescent="0.25">
      <c r="B119" s="155"/>
      <c r="C119" s="155"/>
      <c r="D119" s="155"/>
      <c r="E119" s="155"/>
      <c r="F119" s="155" t="s">
        <v>546</v>
      </c>
      <c r="G119" s="253" t="s">
        <v>911</v>
      </c>
      <c r="H119" s="155"/>
      <c r="I119" s="171"/>
      <c r="J119" s="155"/>
      <c r="K119" s="155"/>
      <c r="L119" s="157"/>
      <c r="M119" s="157"/>
      <c r="N119" s="157"/>
      <c r="O119" s="157"/>
      <c r="P119" s="220"/>
      <c r="Q119" s="220"/>
      <c r="R119" s="220"/>
      <c r="S119" s="220"/>
      <c r="T119" s="220"/>
      <c r="U119" s="220"/>
      <c r="V119" s="220"/>
      <c r="W119"/>
      <c r="X119"/>
    </row>
    <row r="120" spans="1:27" s="185" customFormat="1" ht="45" x14ac:dyDescent="0.25">
      <c r="A120" s="158" t="s">
        <v>34</v>
      </c>
      <c r="B120" s="158" t="s">
        <v>548</v>
      </c>
      <c r="C120" s="158"/>
      <c r="D120" s="158"/>
      <c r="E120" s="158" t="s">
        <v>549</v>
      </c>
      <c r="F120" s="158" t="s">
        <v>550</v>
      </c>
      <c r="G120" s="158" t="s">
        <v>977</v>
      </c>
      <c r="H120" s="158"/>
      <c r="I120" s="158"/>
      <c r="J120" s="158"/>
      <c r="K120" s="158"/>
      <c r="L120" s="158"/>
      <c r="M120" s="158">
        <v>2</v>
      </c>
      <c r="N120" s="158">
        <v>3</v>
      </c>
      <c r="O120" s="158"/>
      <c r="P120" s="158"/>
      <c r="Q120" s="158"/>
      <c r="R120" s="158"/>
      <c r="S120" s="158"/>
      <c r="T120" s="158"/>
      <c r="U120" s="158"/>
      <c r="V120" s="158"/>
      <c r="W120"/>
      <c r="X120"/>
    </row>
    <row r="121" spans="1:27" s="185" customFormat="1" ht="30" x14ac:dyDescent="0.25">
      <c r="B121" s="158"/>
      <c r="C121" s="158"/>
      <c r="D121" s="158"/>
      <c r="E121" s="158"/>
      <c r="F121" s="158" t="s">
        <v>551</v>
      </c>
      <c r="G121" s="158" t="s">
        <v>552</v>
      </c>
      <c r="H121" s="158"/>
      <c r="I121" s="158"/>
      <c r="J121" s="158"/>
      <c r="K121" s="158"/>
      <c r="L121" s="158"/>
      <c r="M121" s="158"/>
      <c r="N121" s="158"/>
      <c r="O121" s="158"/>
      <c r="P121" s="158"/>
      <c r="Q121" s="158"/>
      <c r="R121" s="158"/>
      <c r="S121" s="158"/>
      <c r="T121" s="158"/>
      <c r="U121" s="158"/>
      <c r="V121" s="158"/>
      <c r="W121"/>
      <c r="X121"/>
    </row>
    <row r="122" spans="1:27" x14ac:dyDescent="0.25">
      <c r="I122" s="171"/>
      <c r="J122" s="155"/>
      <c r="K122" s="155"/>
      <c r="L122" s="157"/>
      <c r="M122" s="157"/>
      <c r="N122" s="157"/>
      <c r="O122" s="157"/>
      <c r="P122" s="220"/>
      <c r="Q122" s="220"/>
      <c r="R122" s="220"/>
      <c r="S122" s="220"/>
      <c r="T122" s="220"/>
      <c r="U122" s="220"/>
      <c r="V122" s="220"/>
    </row>
    <row r="123" spans="1:27" ht="50.25" customHeight="1" x14ac:dyDescent="0.25">
      <c r="A123" s="158" t="s">
        <v>34</v>
      </c>
      <c r="B123" s="298" t="s">
        <v>966</v>
      </c>
      <c r="C123" s="298"/>
      <c r="D123" s="298"/>
      <c r="E123" s="175"/>
      <c r="F123" s="300" t="s">
        <v>559</v>
      </c>
      <c r="G123" s="302" t="s">
        <v>962</v>
      </c>
      <c r="H123" s="176"/>
      <c r="I123" s="171"/>
      <c r="J123" s="155"/>
      <c r="K123" s="155"/>
      <c r="L123" s="157"/>
      <c r="M123" s="157"/>
      <c r="N123" s="157"/>
      <c r="O123" s="157"/>
      <c r="P123" s="220"/>
      <c r="Q123" s="220"/>
      <c r="R123" s="220"/>
      <c r="S123" s="220"/>
      <c r="T123" s="220"/>
      <c r="U123" s="220"/>
      <c r="V123" s="220"/>
      <c r="Z123" s="1"/>
      <c r="AA123" s="1"/>
    </row>
    <row r="124" spans="1:27" ht="30" x14ac:dyDescent="0.25">
      <c r="A124" s="175"/>
      <c r="B124" s="175"/>
      <c r="C124" s="175"/>
      <c r="D124" s="175"/>
      <c r="E124" s="175"/>
      <c r="F124" s="301" t="s">
        <v>437</v>
      </c>
      <c r="G124" s="302" t="s">
        <v>978</v>
      </c>
      <c r="H124" s="176"/>
      <c r="I124" s="171"/>
      <c r="J124" s="155"/>
      <c r="K124" s="155"/>
      <c r="L124" s="157"/>
      <c r="M124" s="157"/>
      <c r="N124" s="157"/>
      <c r="O124" s="157"/>
      <c r="P124" s="220"/>
      <c r="Q124" s="220"/>
      <c r="R124" s="220"/>
      <c r="S124" s="220"/>
      <c r="T124" s="220"/>
      <c r="U124" s="220"/>
      <c r="V124" s="220"/>
      <c r="Z124" s="1"/>
      <c r="AA124" s="1"/>
    </row>
  </sheetData>
  <mergeCells count="1">
    <mergeCell ref="P1:U1"/>
  </mergeCells>
  <conditionalFormatting sqref="E4:O7 C4:C7 I8:O11 V4:V26 P4:U41 P43:U71 J76:V113">
    <cfRule type="expression" dxfId="177" priority="182">
      <formula>ISBLANK(C4)</formula>
    </cfRule>
  </conditionalFormatting>
  <conditionalFormatting sqref="O2 V2">
    <cfRule type="expression" dxfId="176" priority="183">
      <formula>IF(AND(AND(NOT(ISBLANK($G2)), $G2&lt;&gt;0),#REF!&lt;0), IF(#REF!="Daily",AND(#REF!&lt;=COLUMN()-COLUMN(#REF!), #REF!&gt;COLUMN()-COLUMN(#REF!)-1),AND(FLOOR(#REF!*24,1)&lt;=COLUMN()-COLUMN(#REF!),(#REF!*24)&gt;COLUMN()-COLUMN(#REF!))),"")</formula>
    </cfRule>
    <cfRule type="expression" dxfId="175" priority="184">
      <formula>IF(AND(AND(NOT(ISBLANK($G2)), $G2&lt;&gt;0),#REF!&gt;0), IF(#REF!="Daily",AND(#REF!&lt;=COLUMN()-COLUMN(#REF!), #REF!&gt;COLUMN()-COLUMN(#REF!)-1),AND(FLOOR(#REF!*24,1)&lt;=COLUMN()-COLUMN(#REF!),(#REF!*24)&gt;COLUMN()-COLUMN(#REF!))),"")</formula>
    </cfRule>
    <cfRule type="expression" dxfId="174" priority="185">
      <formula>IF(AND(AND(NOT(ISBLANK($G2)), $G2&lt;&gt;0),#REF!=0), IF(#REF!="Daily",AND(#REF!&lt;=COLUMN()-COLUMN(#REF!), #REF!&gt;COLUMN()-COLUMN(#REF!)-1),AND(FLOOR(#REF!*24,1)&lt;=COLUMN()-COLUMN(#REF!),(#REF!*24)&gt;COLUMN()-COLUMN(#REF!))),"")</formula>
    </cfRule>
  </conditionalFormatting>
  <conditionalFormatting sqref="L4:O7 V4:V7">
    <cfRule type="expression" dxfId="173" priority="181">
      <formula>#REF!&lt;&gt;""</formula>
    </cfRule>
  </conditionalFormatting>
  <conditionalFormatting sqref="B4:O7 V4:V7">
    <cfRule type="expression" dxfId="172" priority="178">
      <formula>ISBLANK(B4)</formula>
    </cfRule>
  </conditionalFormatting>
  <conditionalFormatting sqref="B4:O7 I8:O11 B12:D17 F12:O17 B18:F18 I18:O18 B23:O26 B22:G22 I22:O22 B9:F11 C8:F8 B32:O34 B31:G31 I31:O31 B49:G50 I49:O50 B35:G36 I35:O36 B37:O40 B46:O48 B41:G41 I41:O41 B51:O57 B27:F27 H27:O27 B61:O62 B59:G59 I59:O59 B60:F60 H60:O60 J63:O71 B64:I71 B63:F63 H63:I63 B92:G92 I92 B104:G104 I104 B105:F105 H105:I105 B108:E108 G108:I108 I122:V124 I45:O45 B45:G45 B43:O44 P4:V41 P43:V71 J76:V113">
    <cfRule type="expression" dxfId="171" priority="177">
      <formula>$B4&lt;&gt;""</formula>
    </cfRule>
  </conditionalFormatting>
  <conditionalFormatting sqref="E4:K7 C4:C7">
    <cfRule type="expression" dxfId="170" priority="186">
      <formula>#REF!&lt;&gt;""</formula>
    </cfRule>
  </conditionalFormatting>
  <conditionalFormatting sqref="D4:D7">
    <cfRule type="expression" dxfId="169" priority="171">
      <formula>ISBLANK(D4)</formula>
    </cfRule>
  </conditionalFormatting>
  <conditionalFormatting sqref="D4:D7">
    <cfRule type="expression" dxfId="168" priority="172">
      <formula>#REF!&lt;&gt;""</formula>
    </cfRule>
  </conditionalFormatting>
  <conditionalFormatting sqref="B19:O21 B12:D17 F12:O17 B18:F18 I18:O18 B23:O26 B22:G22 I22:O22 B9:F11 C8:F8">
    <cfRule type="expression" dxfId="167" priority="164">
      <formula>ISBLANK(B8)</formula>
    </cfRule>
  </conditionalFormatting>
  <conditionalFormatting sqref="B19:O21">
    <cfRule type="expression" dxfId="166" priority="163">
      <formula>$B19&lt;&gt;""</formula>
    </cfRule>
  </conditionalFormatting>
  <conditionalFormatting sqref="B28:O30 B32:O34 B31:G31 I31:O31 B49:G50 I49:O50 B35:G36 I35:O36 B37:O40 B46:O48 B41:G41 I41:O41 B51:O57 B27:F27 H27:O27 I45:O45 B45:G45 B43:O44 V27:V41 V43:V57">
    <cfRule type="expression" dxfId="165" priority="162">
      <formula>ISBLANK(B27)</formula>
    </cfRule>
  </conditionalFormatting>
  <conditionalFormatting sqref="B28:O30">
    <cfRule type="expression" dxfId="164" priority="161">
      <formula>$B28&lt;&gt;""</formula>
    </cfRule>
  </conditionalFormatting>
  <conditionalFormatting sqref="H8:H11">
    <cfRule type="expression" dxfId="163" priority="158">
      <formula>ISBLANK(H8)</formula>
    </cfRule>
  </conditionalFormatting>
  <conditionalFormatting sqref="H8:H11">
    <cfRule type="expression" dxfId="162" priority="157">
      <formula>$B8&lt;&gt;""</formula>
    </cfRule>
  </conditionalFormatting>
  <conditionalFormatting sqref="G9:G11">
    <cfRule type="expression" dxfId="161" priority="155">
      <formula>$B9&lt;&gt;""</formula>
    </cfRule>
  </conditionalFormatting>
  <conditionalFormatting sqref="G9:G11 I117:O117 D117:G117 D118:F119 B117:C119 I122:O124">
    <cfRule type="expression" dxfId="160" priority="156">
      <formula>ISBLANK(B9)</formula>
    </cfRule>
  </conditionalFormatting>
  <conditionalFormatting sqref="E12:E17">
    <cfRule type="expression" dxfId="159" priority="153">
      <formula>$B12&lt;&gt;""</formula>
    </cfRule>
  </conditionalFormatting>
  <conditionalFormatting sqref="E12:E17">
    <cfRule type="expression" dxfId="158" priority="154">
      <formula>ISBLANK(E12)</formula>
    </cfRule>
  </conditionalFormatting>
  <conditionalFormatting sqref="G18">
    <cfRule type="expression" dxfId="157" priority="151">
      <formula>$B18&lt;&gt;""</formula>
    </cfRule>
  </conditionalFormatting>
  <conditionalFormatting sqref="G18">
    <cfRule type="expression" dxfId="156" priority="152">
      <formula>ISBLANK(G18)</formula>
    </cfRule>
  </conditionalFormatting>
  <conditionalFormatting sqref="H18">
    <cfRule type="expression" dxfId="155" priority="150">
      <formula>ISBLANK(H18)</formula>
    </cfRule>
  </conditionalFormatting>
  <conditionalFormatting sqref="H18">
    <cfRule type="expression" dxfId="154" priority="149">
      <formula>$B18&lt;&gt;""</formula>
    </cfRule>
  </conditionalFormatting>
  <conditionalFormatting sqref="H22">
    <cfRule type="expression" dxfId="153" priority="148">
      <formula>ISBLANK(H22)</formula>
    </cfRule>
  </conditionalFormatting>
  <conditionalFormatting sqref="H22">
    <cfRule type="expression" dxfId="152" priority="147">
      <formula>$B22&lt;&gt;""</formula>
    </cfRule>
  </conditionalFormatting>
  <conditionalFormatting sqref="H31">
    <cfRule type="expression" dxfId="151" priority="146">
      <formula>ISBLANK(H31)</formula>
    </cfRule>
  </conditionalFormatting>
  <conditionalFormatting sqref="H31">
    <cfRule type="expression" dxfId="150" priority="145">
      <formula>$B31&lt;&gt;""</formula>
    </cfRule>
  </conditionalFormatting>
  <conditionalFormatting sqref="H49">
    <cfRule type="expression" dxfId="149" priority="144">
      <formula>ISBLANK(H49)</formula>
    </cfRule>
  </conditionalFormatting>
  <conditionalFormatting sqref="H49">
    <cfRule type="expression" dxfId="148" priority="143">
      <formula>$B49&lt;&gt;""</formula>
    </cfRule>
  </conditionalFormatting>
  <conditionalFormatting sqref="H50">
    <cfRule type="expression" dxfId="147" priority="142">
      <formula>ISBLANK(H50)</formula>
    </cfRule>
  </conditionalFormatting>
  <conditionalFormatting sqref="H50">
    <cfRule type="expression" dxfId="146" priority="141">
      <formula>$B50&lt;&gt;""</formula>
    </cfRule>
  </conditionalFormatting>
  <conditionalFormatting sqref="H35">
    <cfRule type="expression" dxfId="145" priority="140">
      <formula>ISBLANK(H35)</formula>
    </cfRule>
  </conditionalFormatting>
  <conditionalFormatting sqref="H35">
    <cfRule type="expression" dxfId="144" priority="139">
      <formula>$B35&lt;&gt;""</formula>
    </cfRule>
  </conditionalFormatting>
  <conditionalFormatting sqref="H36">
    <cfRule type="expression" dxfId="143" priority="138">
      <formula>ISBLANK(H36)</formula>
    </cfRule>
  </conditionalFormatting>
  <conditionalFormatting sqref="H36">
    <cfRule type="expression" dxfId="142" priority="137">
      <formula>$B36&lt;&gt;""</formula>
    </cfRule>
  </conditionalFormatting>
  <conditionalFormatting sqref="H41 H45">
    <cfRule type="expression" dxfId="141" priority="136">
      <formula>ISBLANK(H41)</formula>
    </cfRule>
  </conditionalFormatting>
  <conditionalFormatting sqref="H41 H45">
    <cfRule type="expression" dxfId="140" priority="135">
      <formula>$B41&lt;&gt;""</formula>
    </cfRule>
  </conditionalFormatting>
  <conditionalFormatting sqref="B58:O58 B61:O62 B59:G59 I59:O59 B60:F60 H60:O60 V58:V71 J63:O71 B64:I71 B63:F63 H63:I63">
    <cfRule type="expression" dxfId="139" priority="134">
      <formula>ISBLANK(B58)</formula>
    </cfRule>
  </conditionalFormatting>
  <conditionalFormatting sqref="B58:O58">
    <cfRule type="expression" dxfId="138" priority="133">
      <formula>$B58&lt;&gt;""</formula>
    </cfRule>
  </conditionalFormatting>
  <conditionalFormatting sqref="H59">
    <cfRule type="expression" dxfId="137" priority="132">
      <formula>ISBLANK(H59)</formula>
    </cfRule>
  </conditionalFormatting>
  <conditionalFormatting sqref="H59">
    <cfRule type="expression" dxfId="136" priority="131">
      <formula>$B59&lt;&gt;""</formula>
    </cfRule>
  </conditionalFormatting>
  <conditionalFormatting sqref="B8">
    <cfRule type="expression" dxfId="135" priority="122">
      <formula>ISBLANK(B8)</formula>
    </cfRule>
  </conditionalFormatting>
  <conditionalFormatting sqref="B8">
    <cfRule type="expression" dxfId="134" priority="121">
      <formula>$B8&lt;&gt;""</formula>
    </cfRule>
  </conditionalFormatting>
  <conditionalFormatting sqref="G8">
    <cfRule type="expression" dxfId="133" priority="120">
      <formula>ISBLANK(G8)</formula>
    </cfRule>
  </conditionalFormatting>
  <conditionalFormatting sqref="G8">
    <cfRule type="expression" dxfId="132" priority="119">
      <formula>$B8&lt;&gt;""</formula>
    </cfRule>
  </conditionalFormatting>
  <conditionalFormatting sqref="G27">
    <cfRule type="expression" dxfId="131" priority="118">
      <formula>ISBLANK(G27)</formula>
    </cfRule>
  </conditionalFormatting>
  <conditionalFormatting sqref="G27">
    <cfRule type="expression" dxfId="130" priority="117">
      <formula>$B27&lt;&gt;""</formula>
    </cfRule>
  </conditionalFormatting>
  <conditionalFormatting sqref="G60">
    <cfRule type="expression" dxfId="129" priority="116">
      <formula>ISBLANK(G60)</formula>
    </cfRule>
  </conditionalFormatting>
  <conditionalFormatting sqref="G60">
    <cfRule type="expression" dxfId="128" priority="115">
      <formula>$B60&lt;&gt;""</formula>
    </cfRule>
  </conditionalFormatting>
  <conditionalFormatting sqref="P1:R2">
    <cfRule type="containsText" dxfId="127" priority="111" operator="containsText" text="x">
      <formula>NOT(ISERROR(SEARCH("x",P1)))</formula>
    </cfRule>
  </conditionalFormatting>
  <conditionalFormatting sqref="E77:I80 C77:C80">
    <cfRule type="expression" dxfId="126" priority="109">
      <formula>ISBLANK(C77)</formula>
    </cfRule>
  </conditionalFormatting>
  <conditionalFormatting sqref="B76:I80">
    <cfRule type="expression" dxfId="125" priority="108">
      <formula>ISBLANK(B76)</formula>
    </cfRule>
  </conditionalFormatting>
  <conditionalFormatting sqref="B76:I80">
    <cfRule type="expression" dxfId="124" priority="107">
      <formula>$B76&lt;&gt;""</formula>
    </cfRule>
  </conditionalFormatting>
  <conditionalFormatting sqref="E77:I80 C77:C80">
    <cfRule type="expression" dxfId="123" priority="110">
      <formula>#REF!&lt;&gt;""</formula>
    </cfRule>
  </conditionalFormatting>
  <conditionalFormatting sqref="D77:D80">
    <cfRule type="expression" dxfId="122" priority="105">
      <formula>ISBLANK(D77)</formula>
    </cfRule>
  </conditionalFormatting>
  <conditionalFormatting sqref="D77:D80">
    <cfRule type="expression" dxfId="121" priority="106">
      <formula>#REF!&lt;&gt;""</formula>
    </cfRule>
  </conditionalFormatting>
  <conditionalFormatting sqref="C76:I76">
    <cfRule type="expression" dxfId="120" priority="104">
      <formula>ISBLANK(C76)</formula>
    </cfRule>
  </conditionalFormatting>
  <conditionalFormatting sqref="C76:I76">
    <cfRule type="expression" dxfId="119" priority="103">
      <formula>$B76&lt;&gt;""</formula>
    </cfRule>
  </conditionalFormatting>
  <conditionalFormatting sqref="E82:I85 C82:C85">
    <cfRule type="expression" dxfId="118" priority="101">
      <formula>ISBLANK(C82)</formula>
    </cfRule>
  </conditionalFormatting>
  <conditionalFormatting sqref="B81:I85">
    <cfRule type="expression" dxfId="117" priority="100">
      <formula>ISBLANK(B81)</formula>
    </cfRule>
  </conditionalFormatting>
  <conditionalFormatting sqref="B81:I85">
    <cfRule type="expression" dxfId="116" priority="99">
      <formula>$B81&lt;&gt;""</formula>
    </cfRule>
  </conditionalFormatting>
  <conditionalFormatting sqref="E82:I85 C82:C85">
    <cfRule type="expression" dxfId="115" priority="102">
      <formula>#REF!&lt;&gt;""</formula>
    </cfRule>
  </conditionalFormatting>
  <conditionalFormatting sqref="D82:D85">
    <cfRule type="expression" dxfId="114" priority="97">
      <formula>ISBLANK(D82)</formula>
    </cfRule>
  </conditionalFormatting>
  <conditionalFormatting sqref="D82:D85">
    <cfRule type="expression" dxfId="113" priority="98">
      <formula>#REF!&lt;&gt;""</formula>
    </cfRule>
  </conditionalFormatting>
  <conditionalFormatting sqref="C81:I81">
    <cfRule type="expression" dxfId="112" priority="96">
      <formula>ISBLANK(C81)</formula>
    </cfRule>
  </conditionalFormatting>
  <conditionalFormatting sqref="C81:I81">
    <cfRule type="expression" dxfId="111" priority="95">
      <formula>$B81&lt;&gt;""</formula>
    </cfRule>
  </conditionalFormatting>
  <conditionalFormatting sqref="B86:I90">
    <cfRule type="expression" dxfId="110" priority="94">
      <formula>ISBLANK(B86)</formula>
    </cfRule>
  </conditionalFormatting>
  <conditionalFormatting sqref="B86:I90">
    <cfRule type="expression" dxfId="109" priority="93">
      <formula>$B86&lt;&gt;""</formula>
    </cfRule>
  </conditionalFormatting>
  <conditionalFormatting sqref="B91:I91 B92:G92 I92">
    <cfRule type="expression" dxfId="108" priority="92">
      <formula>ISBLANK(B91)</formula>
    </cfRule>
  </conditionalFormatting>
  <conditionalFormatting sqref="B91:I91">
    <cfRule type="expression" dxfId="107" priority="91">
      <formula>$B91&lt;&gt;""</formula>
    </cfRule>
  </conditionalFormatting>
  <conditionalFormatting sqref="H92">
    <cfRule type="expression" dxfId="106" priority="90">
      <formula>ISBLANK(H92)</formula>
    </cfRule>
  </conditionalFormatting>
  <conditionalFormatting sqref="H92">
    <cfRule type="expression" dxfId="105" priority="89">
      <formula>$B92&lt;&gt;""</formula>
    </cfRule>
  </conditionalFormatting>
  <conditionalFormatting sqref="E94:I97 C94:C97">
    <cfRule type="expression" dxfId="104" priority="85">
      <formula>ISBLANK(C94)</formula>
    </cfRule>
  </conditionalFormatting>
  <conditionalFormatting sqref="B93:I97">
    <cfRule type="expression" dxfId="103" priority="84">
      <formula>ISBLANK(B93)</formula>
    </cfRule>
  </conditionalFormatting>
  <conditionalFormatting sqref="B93:I97">
    <cfRule type="expression" dxfId="102" priority="83">
      <formula>$B93&lt;&gt;""</formula>
    </cfRule>
  </conditionalFormatting>
  <conditionalFormatting sqref="E94:I97 C94:C97">
    <cfRule type="expression" dxfId="101" priority="86">
      <formula>#REF!&lt;&gt;""</formula>
    </cfRule>
  </conditionalFormatting>
  <conditionalFormatting sqref="D94:D97">
    <cfRule type="expression" dxfId="100" priority="81">
      <formula>ISBLANK(D94)</formula>
    </cfRule>
  </conditionalFormatting>
  <conditionalFormatting sqref="D94:D97">
    <cfRule type="expression" dxfId="99" priority="82">
      <formula>#REF!&lt;&gt;""</formula>
    </cfRule>
  </conditionalFormatting>
  <conditionalFormatting sqref="C93:I93">
    <cfRule type="expression" dxfId="98" priority="80">
      <formula>ISBLANK(C93)</formula>
    </cfRule>
  </conditionalFormatting>
  <conditionalFormatting sqref="C93:I93">
    <cfRule type="expression" dxfId="97" priority="79">
      <formula>$B93&lt;&gt;""</formula>
    </cfRule>
  </conditionalFormatting>
  <conditionalFormatting sqref="B98:I102">
    <cfRule type="expression" dxfId="96" priority="78">
      <formula>ISBLANK(B98)</formula>
    </cfRule>
  </conditionalFormatting>
  <conditionalFormatting sqref="B98:I102">
    <cfRule type="expression" dxfId="95" priority="77">
      <formula>$B98&lt;&gt;""</formula>
    </cfRule>
  </conditionalFormatting>
  <conditionalFormatting sqref="B103:I103 B104:G104 I104">
    <cfRule type="expression" dxfId="94" priority="76">
      <formula>ISBLANK(B103)</formula>
    </cfRule>
  </conditionalFormatting>
  <conditionalFormatting sqref="B103:I103">
    <cfRule type="expression" dxfId="93" priority="75">
      <formula>$B103&lt;&gt;""</formula>
    </cfRule>
  </conditionalFormatting>
  <conditionalFormatting sqref="H104">
    <cfRule type="expression" dxfId="92" priority="74">
      <formula>ISBLANK(H104)</formula>
    </cfRule>
  </conditionalFormatting>
  <conditionalFormatting sqref="H104">
    <cfRule type="expression" dxfId="91" priority="73">
      <formula>$B104&lt;&gt;""</formula>
    </cfRule>
  </conditionalFormatting>
  <conditionalFormatting sqref="B106:I107 B105:F105 H105:I105">
    <cfRule type="expression" dxfId="90" priority="72">
      <formula>ISBLANK(B105)</formula>
    </cfRule>
  </conditionalFormatting>
  <conditionalFormatting sqref="B106:I107">
    <cfRule type="expression" dxfId="89" priority="71">
      <formula>$B106&lt;&gt;""</formula>
    </cfRule>
  </conditionalFormatting>
  <conditionalFormatting sqref="G105">
    <cfRule type="expression" dxfId="88" priority="70">
      <formula>ISBLANK(G105)</formula>
    </cfRule>
  </conditionalFormatting>
  <conditionalFormatting sqref="G105">
    <cfRule type="expression" dxfId="87" priority="69">
      <formula>$B105&lt;&gt;""</formula>
    </cfRule>
  </conditionalFormatting>
  <conditionalFormatting sqref="B113:I113">
    <cfRule type="expression" dxfId="86" priority="68">
      <formula>ISBLANK(B113)</formula>
    </cfRule>
  </conditionalFormatting>
  <conditionalFormatting sqref="B113:I113">
    <cfRule type="expression" dxfId="85" priority="67">
      <formula>$B113&lt;&gt;""</formula>
    </cfRule>
  </conditionalFormatting>
  <conditionalFormatting sqref="B109:I112 B108:E108 G108:I108">
    <cfRule type="expression" dxfId="84" priority="66">
      <formula>ISBLANK(B108)</formula>
    </cfRule>
  </conditionalFormatting>
  <conditionalFormatting sqref="B109:I112">
    <cfRule type="expression" dxfId="83" priority="65">
      <formula>$B109&lt;&gt;""</formula>
    </cfRule>
  </conditionalFormatting>
  <conditionalFormatting sqref="F108">
    <cfRule type="expression" dxfId="82" priority="64">
      <formula>ISBLANK(F108)</formula>
    </cfRule>
  </conditionalFormatting>
  <conditionalFormatting sqref="F108">
    <cfRule type="expression" dxfId="81" priority="63">
      <formula>$B108&lt;&gt;""</formula>
    </cfRule>
  </conditionalFormatting>
  <conditionalFormatting sqref="G63">
    <cfRule type="expression" dxfId="80" priority="62">
      <formula>ISBLANK(G63)</formula>
    </cfRule>
  </conditionalFormatting>
  <conditionalFormatting sqref="G63">
    <cfRule type="expression" dxfId="79" priority="61">
      <formula>$B63&lt;&gt;""</formula>
    </cfRule>
  </conditionalFormatting>
  <conditionalFormatting sqref="P117:V119 P122:V124">
    <cfRule type="expression" dxfId="78" priority="51">
      <formula>ISBLANK(P117)</formula>
    </cfRule>
  </conditionalFormatting>
  <conditionalFormatting sqref="I118:O119">
    <cfRule type="expression" dxfId="77" priority="48">
      <formula>ISBLANK(I118)</formula>
    </cfRule>
  </conditionalFormatting>
  <conditionalFormatting sqref="G118:G119">
    <cfRule type="expression" dxfId="76" priority="38">
      <formula>ISBLANK(G118)</formula>
    </cfRule>
  </conditionalFormatting>
  <conditionalFormatting sqref="B117:G119 I117:V119">
    <cfRule type="expression" dxfId="75" priority="666">
      <formula>#REF!&lt;&gt;""</formula>
    </cfRule>
  </conditionalFormatting>
  <conditionalFormatting sqref="G118:G119">
    <cfRule type="expression" dxfId="74" priority="687">
      <formula>ISBLANK(G118)</formula>
    </cfRule>
    <cfRule type="expression" dxfId="73" priority="688">
      <formula>#REF!&lt;&gt;""</formula>
    </cfRule>
  </conditionalFormatting>
  <conditionalFormatting sqref="H3:V3">
    <cfRule type="expression" dxfId="72" priority="35">
      <formula>ISBLANK(H3)</formula>
    </cfRule>
  </conditionalFormatting>
  <conditionalFormatting sqref="A3:E3 H3:V3">
    <cfRule type="expression" dxfId="71" priority="34">
      <formula>$A3&lt;&gt;""</formula>
    </cfRule>
  </conditionalFormatting>
  <conditionalFormatting sqref="A3:G3">
    <cfRule type="expression" dxfId="70" priority="33">
      <formula>ISBLANK(A3)</formula>
    </cfRule>
  </conditionalFormatting>
  <conditionalFormatting sqref="F3:G3">
    <cfRule type="expression" dxfId="69" priority="32">
      <formula>$A3&lt;&gt;""</formula>
    </cfRule>
  </conditionalFormatting>
  <conditionalFormatting sqref="A120 A117 A108 A105 A103 A98 A93 A91 A86 A81 A76 A63 A60 A58 A52:A53 A46 A40 A36 A32 A27 A23 A18 A13 A8">
    <cfRule type="expression" dxfId="68" priority="31">
      <formula>$A8&lt;&gt;""</formula>
    </cfRule>
  </conditionalFormatting>
  <conditionalFormatting sqref="A120 A117 A108 A105 A103 A98 A93 A91 A86 A81 A76 A63 A60 A58 A52:A53 A46 A40 A36 A32 A27 A23 A18 A13 A8">
    <cfRule type="expression" dxfId="67" priority="30">
      <formula>ISBLANK(A8)</formula>
    </cfRule>
  </conditionalFormatting>
  <conditionalFormatting sqref="H123:H124">
    <cfRule type="expression" dxfId="66" priority="26">
      <formula>ISBLANK(H123)</formula>
    </cfRule>
  </conditionalFormatting>
  <conditionalFormatting sqref="H123:H124">
    <cfRule type="expression" dxfId="65" priority="25">
      <formula>$A123&lt;&gt;""</formula>
    </cfRule>
  </conditionalFormatting>
  <conditionalFormatting sqref="A124:F124 B123:F123">
    <cfRule type="expression" dxfId="64" priority="24">
      <formula>$A123&lt;&gt;""</formula>
    </cfRule>
  </conditionalFormatting>
  <conditionalFormatting sqref="A124:F124 B123:F123">
    <cfRule type="expression" dxfId="63" priority="23">
      <formula>ISBLANK(A123)</formula>
    </cfRule>
  </conditionalFormatting>
  <conditionalFormatting sqref="D123:D124 B123:C123">
    <cfRule type="expression" dxfId="62" priority="22">
      <formula>ISBLANK(B123)</formula>
    </cfRule>
  </conditionalFormatting>
  <conditionalFormatting sqref="F123:F124">
    <cfRule type="expression" dxfId="61" priority="21">
      <formula>ISBLANK(F123)</formula>
    </cfRule>
  </conditionalFormatting>
  <conditionalFormatting sqref="G124">
    <cfRule type="expression" dxfId="60" priority="20">
      <formula>$A124&lt;&gt;""</formula>
    </cfRule>
  </conditionalFormatting>
  <conditionalFormatting sqref="G124">
    <cfRule type="expression" dxfId="59" priority="19">
      <formula>ISBLANK(G124)</formula>
    </cfRule>
  </conditionalFormatting>
  <conditionalFormatting sqref="G124">
    <cfRule type="expression" dxfId="58" priority="17">
      <formula>ISBLANK(G124)</formula>
    </cfRule>
    <cfRule type="expression" dxfId="57" priority="18">
      <formula>$A124&lt;&gt;""</formula>
    </cfRule>
  </conditionalFormatting>
  <conditionalFormatting sqref="G123">
    <cfRule type="expression" dxfId="56" priority="16">
      <formula>$A123&lt;&gt;""</formula>
    </cfRule>
  </conditionalFormatting>
  <conditionalFormatting sqref="G123">
    <cfRule type="expression" dxfId="55" priority="15">
      <formula>ISBLANK(G123)</formula>
    </cfRule>
  </conditionalFormatting>
  <conditionalFormatting sqref="G123">
    <cfRule type="expression" dxfId="54" priority="13">
      <formula>ISBLANK(G123)</formula>
    </cfRule>
    <cfRule type="expression" dxfId="53" priority="14">
      <formula>$A123&lt;&gt;""</formula>
    </cfRule>
  </conditionalFormatting>
  <conditionalFormatting sqref="A123">
    <cfRule type="expression" dxfId="52" priority="10">
      <formula>$A123&lt;&gt;""</formula>
    </cfRule>
  </conditionalFormatting>
  <conditionalFormatting sqref="A123">
    <cfRule type="expression" dxfId="51" priority="9">
      <formula>ISBLANK(A123)</formula>
    </cfRule>
  </conditionalFormatting>
  <conditionalFormatting sqref="H117:H119">
    <cfRule type="expression" dxfId="50" priority="8">
      <formula>ISBLANK(H117)</formula>
    </cfRule>
  </conditionalFormatting>
  <conditionalFormatting sqref="H117:H119">
    <cfRule type="expression" dxfId="49" priority="7">
      <formula>$B117&lt;&gt;""</formula>
    </cfRule>
  </conditionalFormatting>
  <conditionalFormatting sqref="B120:V121">
    <cfRule type="expression" dxfId="48" priority="6">
      <formula>$A120&lt;&gt;""</formula>
    </cfRule>
  </conditionalFormatting>
  <conditionalFormatting sqref="B120:V121">
    <cfRule type="expression" dxfId="47" priority="5">
      <formula>ISBLANK(B120)</formula>
    </cfRule>
  </conditionalFormatting>
  <conditionalFormatting sqref="A42:A44">
    <cfRule type="expression" dxfId="46" priority="4">
      <formula>$A42&lt;&gt;""</formula>
    </cfRule>
  </conditionalFormatting>
  <conditionalFormatting sqref="A42:A44">
    <cfRule type="expression" dxfId="45" priority="3">
      <formula>ISBLANK(A42)</formula>
    </cfRule>
  </conditionalFormatting>
  <conditionalFormatting sqref="B42:V42">
    <cfRule type="expression" dxfId="44" priority="2">
      <formula>$A42&lt;&gt;""</formula>
    </cfRule>
  </conditionalFormatting>
  <conditionalFormatting sqref="B42:V42">
    <cfRule type="expression" dxfId="43" priority="1">
      <formula>ISBLANK(B42)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A5853-4673-4FC0-95FC-1C8B64A547FA}">
  <sheetPr codeName="Sheet1">
    <tabColor theme="9"/>
  </sheetPr>
  <dimension ref="A1:AP255"/>
  <sheetViews>
    <sheetView topLeftCell="A49" workbookViewId="0">
      <selection activeCell="U67" sqref="U67"/>
    </sheetView>
  </sheetViews>
  <sheetFormatPr defaultRowHeight="15" x14ac:dyDescent="0.25"/>
  <cols>
    <col min="1" max="1" width="7.5703125" customWidth="1"/>
    <col min="2" max="2" width="6" customWidth="1"/>
    <col min="3" max="3" width="7.42578125" customWidth="1"/>
    <col min="4" max="4" width="21.7109375" bestFit="1" customWidth="1"/>
    <col min="5" max="5" width="9.42578125" style="4" customWidth="1"/>
    <col min="6" max="6" width="20.5703125" hidden="1" customWidth="1"/>
    <col min="7" max="7" width="6.42578125" hidden="1" customWidth="1"/>
    <col min="8" max="8" width="13.7109375" hidden="1" customWidth="1"/>
    <col min="9" max="9" width="9.28515625" hidden="1" customWidth="1"/>
    <col min="10" max="10" width="7.42578125" style="4" hidden="1" customWidth="1"/>
    <col min="11" max="11" width="10.42578125" style="4" hidden="1" customWidth="1"/>
    <col min="12" max="12" width="9.28515625" style="291" hidden="1" customWidth="1"/>
    <col min="13" max="13" width="11.28515625" style="4" hidden="1" customWidth="1"/>
    <col min="14" max="14" width="11.7109375" style="4" hidden="1" customWidth="1"/>
    <col min="15" max="15" width="6.7109375" style="4" hidden="1" customWidth="1"/>
    <col min="16" max="16" width="13.28515625" style="4" hidden="1" customWidth="1"/>
    <col min="17" max="17" width="12.85546875" style="56" hidden="1" customWidth="1"/>
    <col min="18" max="18" width="21.7109375" style="56" hidden="1" customWidth="1"/>
    <col min="19" max="19" width="21.28515625" hidden="1" customWidth="1"/>
    <col min="20" max="20" width="14.28515625" style="49" hidden="1" customWidth="1"/>
    <col min="21" max="21" width="11.7109375" bestFit="1" customWidth="1"/>
    <col min="22" max="22" width="7.7109375" customWidth="1"/>
    <col min="23" max="24" width="14.5703125" style="1" hidden="1" customWidth="1"/>
    <col min="25" max="25" width="22.42578125" hidden="1" customWidth="1"/>
    <col min="26" max="26" width="18" hidden="1" customWidth="1"/>
    <col min="27" max="27" width="16.7109375" style="49" hidden="1" customWidth="1"/>
    <col min="28" max="28" width="12.85546875" hidden="1" customWidth="1"/>
    <col min="29" max="29" width="13.28515625" hidden="1" customWidth="1"/>
    <col min="30" max="31" width="18.28515625" hidden="1" customWidth="1"/>
    <col min="32" max="32" width="23.42578125" hidden="1" customWidth="1"/>
    <col min="33" max="33" width="18.28515625" hidden="1" customWidth="1"/>
    <col min="34" max="34" width="14.140625" style="49" hidden="1" customWidth="1"/>
    <col min="35" max="35" width="13.28515625" hidden="1" customWidth="1"/>
    <col min="36" max="36" width="13.5703125" hidden="1" customWidth="1"/>
    <col min="37" max="37" width="0.140625" hidden="1" customWidth="1"/>
    <col min="38" max="38" width="18.28515625" hidden="1" customWidth="1"/>
    <col min="39" max="39" width="4.28515625" customWidth="1"/>
    <col min="40" max="40" width="16" customWidth="1"/>
    <col min="41" max="41" width="15.140625" customWidth="1"/>
  </cols>
  <sheetData>
    <row r="1" spans="1:42" s="30" customFormat="1" ht="59.25" customHeight="1" thickBot="1" x14ac:dyDescent="0.3">
      <c r="A1" s="25" t="s">
        <v>14</v>
      </c>
      <c r="B1" s="25" t="s">
        <v>172</v>
      </c>
      <c r="C1" s="26" t="s">
        <v>0</v>
      </c>
      <c r="D1" s="26" t="s">
        <v>1</v>
      </c>
      <c r="E1" s="127" t="s">
        <v>2</v>
      </c>
      <c r="F1" s="26" t="s">
        <v>171</v>
      </c>
      <c r="G1" s="22" t="s">
        <v>173</v>
      </c>
      <c r="H1" s="22" t="s">
        <v>67</v>
      </c>
      <c r="I1" s="22" t="s">
        <v>68</v>
      </c>
      <c r="J1" s="23" t="s">
        <v>57</v>
      </c>
      <c r="K1" s="23" t="s">
        <v>58</v>
      </c>
      <c r="L1" s="287" t="s">
        <v>71</v>
      </c>
      <c r="M1" s="23" t="s">
        <v>169</v>
      </c>
      <c r="N1" s="23" t="s">
        <v>168</v>
      </c>
      <c r="O1" s="24" t="s">
        <v>167</v>
      </c>
      <c r="P1" s="52" t="s">
        <v>190</v>
      </c>
      <c r="Q1" s="55" t="s">
        <v>194</v>
      </c>
      <c r="R1" s="57" t="s">
        <v>193</v>
      </c>
      <c r="S1" s="28" t="s">
        <v>59</v>
      </c>
      <c r="T1" s="48" t="s">
        <v>64</v>
      </c>
      <c r="U1" s="53" t="s">
        <v>191</v>
      </c>
      <c r="V1" s="54" t="s">
        <v>192</v>
      </c>
      <c r="W1" s="58" t="s">
        <v>195</v>
      </c>
      <c r="X1" s="58" t="s">
        <v>196</v>
      </c>
      <c r="Y1" s="46" t="s">
        <v>201</v>
      </c>
      <c r="Z1" s="46" t="s">
        <v>177</v>
      </c>
      <c r="AA1" s="50" t="s">
        <v>161</v>
      </c>
      <c r="AB1" s="46" t="s">
        <v>217</v>
      </c>
      <c r="AC1" s="75" t="s">
        <v>218</v>
      </c>
      <c r="AD1" s="46" t="s">
        <v>197</v>
      </c>
      <c r="AE1" s="46" t="s">
        <v>198</v>
      </c>
      <c r="AF1" s="47" t="s">
        <v>176</v>
      </c>
      <c r="AG1" s="47" t="s">
        <v>178</v>
      </c>
      <c r="AH1" s="51" t="s">
        <v>162</v>
      </c>
      <c r="AI1" s="47" t="s">
        <v>216</v>
      </c>
      <c r="AJ1" s="47" t="s">
        <v>215</v>
      </c>
      <c r="AK1" s="73" t="s">
        <v>199</v>
      </c>
      <c r="AL1" s="74" t="s">
        <v>200</v>
      </c>
      <c r="AM1" s="29" t="s">
        <v>8</v>
      </c>
      <c r="AN1" s="27" t="s">
        <v>65</v>
      </c>
      <c r="AO1" s="27" t="s">
        <v>66</v>
      </c>
      <c r="AP1" s="30" t="s">
        <v>257</v>
      </c>
    </row>
    <row r="2" spans="1:42" s="30" customFormat="1" x14ac:dyDescent="0.25">
      <c r="A2" s="138"/>
      <c r="B2" s="138"/>
      <c r="C2" s="138"/>
      <c r="D2" s="139" t="str">
        <f>IFERROR(VLOOKUP(E2,'Chemical data ref sheet'!$A$1:$E$163,2,FALSE),"")</f>
        <v/>
      </c>
      <c r="E2" s="140"/>
      <c r="F2" s="138"/>
      <c r="G2" s="138"/>
      <c r="H2" s="138" t="str">
        <f>IFERROR(VLOOKUP(E2,'Chemical data ref sheet'!$A$1:$E$163,4,FALSE),"")</f>
        <v/>
      </c>
      <c r="I2" s="138" t="str">
        <f>IFERROR(VLOOKUP(E2,'Chemical data ref sheet'!$A$1:$E$163,5,FALSE),"")</f>
        <v/>
      </c>
      <c r="J2" s="141"/>
      <c r="K2" s="141"/>
      <c r="L2" s="288"/>
      <c r="M2" s="141"/>
      <c r="N2" s="141"/>
      <c r="O2" s="142"/>
      <c r="P2" s="141">
        <f>SUMIFS('Product samples'!E:E, 'Product samples'!A:A, B2)</f>
        <v>0</v>
      </c>
      <c r="Q2" s="143">
        <f>IFERROR((P2/1000)/H2,0)</f>
        <v>0</v>
      </c>
      <c r="R2" s="143" t="str">
        <f t="shared" ref="R2:R65" si="0">IFERROR(IF(G2="",VLOOKUP(C2,$B$1:$W$254,22,FALSE),VLOOKUP(C2,$B$1:$W$254,22,FALSE)*(G2/VLOOKUP(C2,$B$1:$X$254,23,FALSE))),"")</f>
        <v/>
      </c>
      <c r="S2" s="144" t="str">
        <f t="shared" ref="S2:S65" si="1">IFERROR(IF(G2="",VLOOKUP(C2,$B$1:$X$254,23,FALSE),VLOOKUP(C2,$B$1:$X$254,23,FALSE)*(G2/VLOOKUP(C2,$B$1:$X$254,23,FALSE))),"")</f>
        <v/>
      </c>
      <c r="T2" s="145" t="str">
        <f>IF(AM2&lt;&gt;"",AM2/H2,IF(AND(C2=D2,C2&lt;&gt;""),R2,IF(O2&lt;&gt;"",O2*R2,IF(J2&lt;&gt;"",J2*R2,""))))</f>
        <v/>
      </c>
      <c r="U2" s="142" t="str">
        <f>IF(AND(H2&lt;&gt;"",T2&lt;&gt;""),T2*H2,IF(L2&lt;&gt;"",S2*L2,""))</f>
        <v/>
      </c>
      <c r="V2" s="144" t="str">
        <f>IFERROR(IF(AND(U2&lt;&gt;"",I2&lt;&gt;""),U2/I2,IF(AND(S2&lt;&gt;"",K2&lt;&gt;""),K2*S2,"")),"")</f>
        <v/>
      </c>
      <c r="W2" s="141" t="str">
        <f>IFERROR(IF(B2&lt;&gt;"",T2-Q2,""),"")</f>
        <v/>
      </c>
      <c r="X2" s="141" t="str">
        <f>IFERROR(IF(B2&lt;&gt;"",U2-(P2/1000),""),"")</f>
        <v/>
      </c>
      <c r="Y2" s="141" t="str">
        <f t="shared" ref="Y2:Y65" si="2">IFERROR(IF(G2="",VLOOKUP(C2,$B$1:$AD$254,29,FALSE),VLOOKUP(C2,$B$1:$AD$254,29,FALSE)*(G2/VLOOKUP(C2,$B$1:$AE$254,30,FALSE))),"")</f>
        <v/>
      </c>
      <c r="Z2" s="141" t="str">
        <f t="shared" ref="Z2:Z65" si="3">IFERROR(IF(G2="",VLOOKUP(C2,$B$1:$AE$254,30,FALSE),VLOOKUP(C2,$B$1:$AE$254,30,FALSE)*(G2/VLOOKUP(C2,$B$1:$AE$254,30,FALSE))),"")</f>
        <v/>
      </c>
      <c r="AA2" s="146" t="str">
        <f>IF(AM2&lt;&gt;"",AM2/H2,IF(AND(C2=D2,C2&lt;&gt;""),Y2,IF(M2&lt;&gt;"",M2*Y2,IF(J2&lt;&gt;"",J2*Y2,""))))</f>
        <v/>
      </c>
      <c r="AB2" s="144" t="str">
        <f>IF(AND(H2&lt;&gt;"",AA2&lt;&gt;""),AA2*H2,IF(L2&lt;&gt;"",Z2*L2,""))</f>
        <v/>
      </c>
      <c r="AC2" s="144" t="str">
        <f>IFERROR(IF(AND(AB2&lt;&gt;"",I2&lt;&gt;""),AB2/I2,IF(AND(Z2&lt;&gt;"",K2&lt;&gt;""),K2*Z2,"")),"")</f>
        <v/>
      </c>
      <c r="AD2" s="141" t="str">
        <f>IFERROR(IF(B2&lt;&gt;"",AA2-Q2,""),"")</f>
        <v/>
      </c>
      <c r="AE2" s="141" t="str">
        <f>IFERROR(IF(B2&lt;&gt;"",AB2-(P2/1000),""),"")</f>
        <v/>
      </c>
      <c r="AF2" s="141" t="str">
        <f t="shared" ref="AF2:AF65" si="4">IFERROR(IF(G2="",VLOOKUP(C2,$B$1:$AK$254,36,FALSE),VLOOKUP(C2,$B$1:$AK$254,36,FALSE)*(G2/VLOOKUP(C2,$B$1:$AL$254,37,FALSE))),"")</f>
        <v/>
      </c>
      <c r="AG2" s="141" t="str">
        <f t="shared" ref="AG2:AG65" si="5">IFERROR(IF(G2="",VLOOKUP(C2,$B$1:$AL$254,37,FALSE),VLOOKUP(C2,$B$1:$AL$254,37,FALSE)*(G2/VLOOKUP(C2,$B$1:$AL$254,37,FALSE))),"")</f>
        <v/>
      </c>
      <c r="AH2" s="146" t="str">
        <f>IF(AM2&lt;&gt;"",AM2/H2,IF(AND(C2=D2,C2&lt;&gt;""),AF2,IF(N2&lt;&gt;"",N2*AF2,IF(J2&lt;&gt;"",J2*AF2,""))))</f>
        <v/>
      </c>
      <c r="AI2" s="144" t="str">
        <f>IF(AND(H2&lt;&gt;"",AH2&lt;&gt;""),AH2*H2,IF(L2&lt;&gt;"",AG2*L2,""))</f>
        <v/>
      </c>
      <c r="AJ2" s="144" t="str">
        <f>IFERROR(IF(AND(AI2&lt;&gt;"",I2&lt;&gt;""),AI2/I2,IF(AND(AG2&lt;&gt;"",K2&lt;&gt;""),K2*AG2,"")),"")</f>
        <v/>
      </c>
      <c r="AK2" s="136" t="str">
        <f>IFERROR(IF(B2&lt;&gt;"",AH2-Q2,""),"")</f>
        <v/>
      </c>
      <c r="AL2" s="136" t="str">
        <f>IFERROR(IF(B2&lt;&gt;"",AI2-(Q2/1000),""),"")</f>
        <v/>
      </c>
      <c r="AM2" s="29"/>
      <c r="AN2" s="27"/>
      <c r="AO2" s="27"/>
    </row>
    <row r="3" spans="1:42" ht="35.25" customHeight="1" x14ac:dyDescent="0.25">
      <c r="A3" s="10" t="s">
        <v>13</v>
      </c>
      <c r="B3" s="10" t="s">
        <v>244</v>
      </c>
      <c r="C3" s="10"/>
      <c r="D3" s="5" t="s">
        <v>244</v>
      </c>
      <c r="E3" s="128" t="s">
        <v>245</v>
      </c>
      <c r="F3" s="5" t="str">
        <f>IFERROR(VLOOKUP(E3,'Chemical data ref sheet'!$A$1:$E$163,3,FALSE),"")</f>
        <v/>
      </c>
      <c r="G3" s="5"/>
      <c r="H3" s="5">
        <v>134.13</v>
      </c>
      <c r="I3" s="5"/>
      <c r="J3" s="6"/>
      <c r="K3" s="6"/>
      <c r="L3" s="289"/>
      <c r="M3" s="6"/>
      <c r="N3" s="6"/>
      <c r="O3" s="6"/>
      <c r="P3" s="133">
        <f>SUMIFS('Product samples'!E:E, 'Product samples'!A:A, B3)</f>
        <v>0</v>
      </c>
      <c r="Q3" s="134">
        <f t="shared" ref="Q3:Q103" si="6">IFERROR((P3/1000)/H3,0)</f>
        <v>0</v>
      </c>
      <c r="R3" s="57" t="str">
        <f t="shared" si="0"/>
        <v/>
      </c>
      <c r="S3" s="135" t="str">
        <f t="shared" si="1"/>
        <v/>
      </c>
      <c r="T3" s="132">
        <f t="shared" ref="T3:T103" si="7">IF(AM3&lt;&gt;"",AM3/H3,IF(AND(C3=D3,C3&lt;&gt;""),R3,IF(O3&lt;&gt;"",O3*R3,IF(J3&lt;&gt;"",J3*R3,""))))</f>
        <v>4.4732721986132859E-2</v>
      </c>
      <c r="U3" s="32">
        <f t="shared" ref="U3:U103" si="8">IF(AND(H3&lt;&gt;"",T3&lt;&gt;""),T3*H3,IF(L3&lt;&gt;"",S3*L3,""))</f>
        <v>6</v>
      </c>
      <c r="V3" s="135" t="str">
        <f t="shared" ref="V3:V103" si="9">IFERROR(IF(AND(U3&lt;&gt;"",I3&lt;&gt;""),U3/I3,IF(AND(S3&lt;&gt;"",K3&lt;&gt;""),K3*S3,"")),"")</f>
        <v/>
      </c>
      <c r="W3" s="136">
        <f t="shared" ref="W3:W103" si="10">IFERROR(IF(B3&lt;&gt;"",T3-Q3,""),"")</f>
        <v>4.4732721986132859E-2</v>
      </c>
      <c r="X3" s="136">
        <f t="shared" ref="X3:X103" si="11">IFERROR(IF(B3&lt;&gt;"",U3-(P3/1000),""),"")</f>
        <v>6</v>
      </c>
      <c r="Y3" s="136" t="str">
        <f t="shared" si="2"/>
        <v/>
      </c>
      <c r="Z3" s="136" t="str">
        <f t="shared" si="3"/>
        <v/>
      </c>
      <c r="AA3" s="137">
        <f t="shared" ref="AA3:AA103" si="12">IF(AM3&lt;&gt;"",AM3/H3,IF(AND(C3=D3,C3&lt;&gt;""),Y3,IF(M3&lt;&gt;"",M3*Y3,IF(J3&lt;&gt;"",J3*Y3,""))))</f>
        <v>4.4732721986132859E-2</v>
      </c>
      <c r="AB3" s="135">
        <f t="shared" ref="AB3:AB103" si="13">IF(AND(H3&lt;&gt;"",AA3&lt;&gt;""),AA3*H3,IF(L3&lt;&gt;"",Z3*L3,""))</f>
        <v>6</v>
      </c>
      <c r="AC3" s="135" t="str">
        <f t="shared" ref="AC3:AC103" si="14">IFERROR(IF(AND(AB3&lt;&gt;"",I3&lt;&gt;""),AB3/I3,IF(AND(Z3&lt;&gt;"",K3&lt;&gt;""),K3*Z3,"")),"")</f>
        <v/>
      </c>
      <c r="AD3" s="136">
        <f t="shared" ref="AD3:AD103" si="15">IFERROR(IF(B3&lt;&gt;"",AA3-Q3,""),"")</f>
        <v>4.4732721986132859E-2</v>
      </c>
      <c r="AE3" s="136">
        <f t="shared" ref="AE3:AE103" si="16">IFERROR(IF(B3&lt;&gt;"",AB3-(P3/1000),""),"")</f>
        <v>6</v>
      </c>
      <c r="AF3" s="136" t="str">
        <f t="shared" si="4"/>
        <v/>
      </c>
      <c r="AG3" s="136" t="str">
        <f t="shared" si="5"/>
        <v/>
      </c>
      <c r="AH3" s="137">
        <f t="shared" ref="AH3:AH103" si="17">IF(AM3&lt;&gt;"",AM3/H3,IF(AND(C3=D3,C3&lt;&gt;""),AF3,IF(N3&lt;&gt;"",N3*AF3,IF(J3&lt;&gt;"",J3*AF3,""))))</f>
        <v>4.4732721986132859E-2</v>
      </c>
      <c r="AI3" s="135">
        <f t="shared" ref="AI3:AI103" si="18">IF(AND(H3&lt;&gt;"",AH3&lt;&gt;""),AH3*H3,IF(L3&lt;&gt;"",AG3*L3,""))</f>
        <v>6</v>
      </c>
      <c r="AJ3" s="135" t="str">
        <f t="shared" ref="AJ3:AJ103" si="19">IFERROR(IF(AND(AI3&lt;&gt;"",I3&lt;&gt;""),AI3/I3,IF(AND(AG3&lt;&gt;"",K3&lt;&gt;""),K3*AG3,"")),"")</f>
        <v/>
      </c>
      <c r="AK3" s="31">
        <f>IFERROR(IF(B3&lt;&gt;"",AH3-Q3,""),"")</f>
        <v>4.4732721986132859E-2</v>
      </c>
      <c r="AL3" s="31">
        <f>IFERROR(IF(B3&lt;&gt;"",AI3-(P3/1000),""),"")</f>
        <v>6</v>
      </c>
      <c r="AM3" s="2">
        <v>6</v>
      </c>
    </row>
    <row r="4" spans="1:42" x14ac:dyDescent="0.25">
      <c r="A4" t="s">
        <v>3</v>
      </c>
      <c r="C4" t="s">
        <v>244</v>
      </c>
      <c r="D4" s="5" t="s">
        <v>246</v>
      </c>
      <c r="E4" s="129"/>
      <c r="F4" s="5" t="str">
        <f>IFERROR(VLOOKUP(E4,'Chemical data ref sheet'!$A$1:$E$163,3,FALSE),"")</f>
        <v/>
      </c>
      <c r="G4" s="5"/>
      <c r="H4" s="5">
        <v>203</v>
      </c>
      <c r="I4" s="5"/>
      <c r="J4" s="7"/>
      <c r="K4" s="7"/>
      <c r="L4" s="290">
        <v>1.51</v>
      </c>
      <c r="M4" s="7"/>
      <c r="N4" s="7"/>
      <c r="O4" s="7"/>
      <c r="P4" s="133">
        <f>SUMIFS('Product samples'!E:E, 'Product samples'!A:A, B4)</f>
        <v>0</v>
      </c>
      <c r="Q4" s="134">
        <f t="shared" si="6"/>
        <v>0</v>
      </c>
      <c r="R4" s="57">
        <f t="shared" si="0"/>
        <v>4.4732721986132859E-2</v>
      </c>
      <c r="S4" s="135">
        <f t="shared" si="1"/>
        <v>6</v>
      </c>
      <c r="T4" s="132" t="str">
        <f t="shared" si="7"/>
        <v/>
      </c>
      <c r="U4" s="32">
        <f t="shared" si="8"/>
        <v>9.06</v>
      </c>
      <c r="V4" s="135" t="str">
        <f t="shared" si="9"/>
        <v/>
      </c>
      <c r="W4" s="136" t="str">
        <f t="shared" si="10"/>
        <v/>
      </c>
      <c r="X4" s="136" t="str">
        <f t="shared" si="11"/>
        <v/>
      </c>
      <c r="Y4" s="136">
        <f t="shared" si="2"/>
        <v>4.4732721986132859E-2</v>
      </c>
      <c r="Z4" s="136">
        <f t="shared" si="3"/>
        <v>6</v>
      </c>
      <c r="AA4" s="137" t="str">
        <f t="shared" si="12"/>
        <v/>
      </c>
      <c r="AB4" s="135">
        <f t="shared" si="13"/>
        <v>9.06</v>
      </c>
      <c r="AC4" s="135" t="str">
        <f t="shared" si="14"/>
        <v/>
      </c>
      <c r="AD4" s="136" t="str">
        <f t="shared" si="15"/>
        <v/>
      </c>
      <c r="AE4" s="136" t="str">
        <f t="shared" si="16"/>
        <v/>
      </c>
      <c r="AF4" s="136">
        <f t="shared" si="4"/>
        <v>4.4732721986132859E-2</v>
      </c>
      <c r="AG4" s="136">
        <f t="shared" si="5"/>
        <v>6</v>
      </c>
      <c r="AH4" s="137" t="str">
        <f t="shared" si="17"/>
        <v/>
      </c>
      <c r="AI4" s="135">
        <f t="shared" si="18"/>
        <v>9.06</v>
      </c>
      <c r="AJ4" s="135" t="str">
        <f t="shared" si="19"/>
        <v/>
      </c>
      <c r="AK4" s="31" t="str">
        <f t="shared" ref="AK4:AK107" si="20">IFERROR(IF(B4&lt;&gt;"",AH4-Q4,""),"")</f>
        <v/>
      </c>
      <c r="AL4" s="31" t="str">
        <f t="shared" ref="AL4:AL107" si="21">IFERROR(IF(B4&lt;&gt;"",AI4-(P4/1000),""),"")</f>
        <v/>
      </c>
    </row>
    <row r="5" spans="1:42" x14ac:dyDescent="0.25">
      <c r="A5" t="s">
        <v>3</v>
      </c>
      <c r="C5" t="s">
        <v>244</v>
      </c>
      <c r="D5" s="5" t="s">
        <v>256</v>
      </c>
      <c r="E5" s="4" t="s">
        <v>925</v>
      </c>
      <c r="F5" s="5" t="str">
        <f>IFERROR(VLOOKUP(E5,'Chemical data ref sheet'!$A$1:$E$163,3,FALSE),"")</f>
        <v/>
      </c>
      <c r="G5" s="5"/>
      <c r="H5" s="5" t="str">
        <f>IFERROR(VLOOKUP(E5,'Chemical data ref sheet'!$A$1:$E$163,4,FALSE),"")</f>
        <v/>
      </c>
      <c r="I5" s="5" t="str">
        <f>IFERROR(VLOOKUP(E5,'Chemical data ref sheet'!$A$1:$E$163,5,FALSE),"")</f>
        <v/>
      </c>
      <c r="J5" s="7"/>
      <c r="K5" s="7"/>
      <c r="L5" s="290">
        <v>4.09</v>
      </c>
      <c r="M5" s="7"/>
      <c r="N5" s="7"/>
      <c r="O5" s="7"/>
      <c r="P5" s="133">
        <f>SUMIFS('Product samples'!E:E, 'Product samples'!A:A, B5)</f>
        <v>0</v>
      </c>
      <c r="Q5" s="134">
        <f t="shared" si="6"/>
        <v>0</v>
      </c>
      <c r="R5" s="57">
        <f t="shared" si="0"/>
        <v>4.4732721986132859E-2</v>
      </c>
      <c r="S5" s="135">
        <f t="shared" si="1"/>
        <v>6</v>
      </c>
      <c r="T5" s="132" t="str">
        <f t="shared" si="7"/>
        <v/>
      </c>
      <c r="U5" s="32">
        <f t="shared" si="8"/>
        <v>24.54</v>
      </c>
      <c r="V5" s="135" t="str">
        <f t="shared" si="9"/>
        <v/>
      </c>
      <c r="W5" s="136" t="str">
        <f t="shared" si="10"/>
        <v/>
      </c>
      <c r="X5" s="136" t="str">
        <f t="shared" si="11"/>
        <v/>
      </c>
      <c r="Y5" s="136">
        <f t="shared" si="2"/>
        <v>4.4732721986132859E-2</v>
      </c>
      <c r="Z5" s="136">
        <f t="shared" si="3"/>
        <v>6</v>
      </c>
      <c r="AA5" s="137" t="str">
        <f t="shared" si="12"/>
        <v/>
      </c>
      <c r="AB5" s="135">
        <f t="shared" si="13"/>
        <v>24.54</v>
      </c>
      <c r="AC5" s="135" t="str">
        <f t="shared" si="14"/>
        <v/>
      </c>
      <c r="AD5" s="136" t="str">
        <f t="shared" si="15"/>
        <v/>
      </c>
      <c r="AE5" s="136" t="str">
        <f t="shared" si="16"/>
        <v/>
      </c>
      <c r="AF5" s="136">
        <f t="shared" si="4"/>
        <v>4.4732721986132859E-2</v>
      </c>
      <c r="AG5" s="136">
        <f t="shared" si="5"/>
        <v>6</v>
      </c>
      <c r="AH5" s="137" t="str">
        <f t="shared" si="17"/>
        <v/>
      </c>
      <c r="AI5" s="135">
        <f t="shared" si="18"/>
        <v>24.54</v>
      </c>
      <c r="AJ5" s="135" t="str">
        <f t="shared" si="19"/>
        <v/>
      </c>
      <c r="AK5" s="31" t="str">
        <f t="shared" si="20"/>
        <v/>
      </c>
      <c r="AL5" s="31" t="str">
        <f t="shared" si="21"/>
        <v/>
      </c>
      <c r="AP5" t="s">
        <v>912</v>
      </c>
    </row>
    <row r="6" spans="1:42" x14ac:dyDescent="0.25">
      <c r="A6" t="s">
        <v>3</v>
      </c>
      <c r="C6" t="s">
        <v>244</v>
      </c>
      <c r="D6" s="5" t="s">
        <v>256</v>
      </c>
      <c r="E6" s="4" t="s">
        <v>925</v>
      </c>
      <c r="F6" s="5" t="str">
        <f>IFERROR(VLOOKUP(E6,'Chemical data ref sheet'!$A$1:$E$163,3,FALSE),"")</f>
        <v/>
      </c>
      <c r="G6" s="5">
        <v>2</v>
      </c>
      <c r="H6" s="5" t="str">
        <f>IFERROR(VLOOKUP(E6,'Chemical data ref sheet'!$A$1:$E$163,4,FALSE),"")</f>
        <v/>
      </c>
      <c r="I6" s="5" t="str">
        <f>IFERROR(VLOOKUP(E6,'Chemical data ref sheet'!$A$1:$E$163,5,FALSE),"")</f>
        <v/>
      </c>
      <c r="J6" s="7"/>
      <c r="K6" s="7"/>
      <c r="L6" s="290">
        <v>1</v>
      </c>
      <c r="M6" s="7"/>
      <c r="N6" s="7"/>
      <c r="O6" s="7"/>
      <c r="P6" s="133">
        <f>SUMIFS('Product samples'!E:E, 'Product samples'!A:A, B6)</f>
        <v>0</v>
      </c>
      <c r="Q6" s="134">
        <f>IFERROR((P6/1000)/H6,0)</f>
        <v>0</v>
      </c>
      <c r="R6" s="57">
        <f t="shared" si="0"/>
        <v>1.4910907328710952E-2</v>
      </c>
      <c r="S6" s="135">
        <f t="shared" si="1"/>
        <v>2</v>
      </c>
      <c r="T6" s="132" t="str">
        <f>IF(AM6&lt;&gt;"",AM6/H6,IF(AND(C6=D6,C6&lt;&gt;""),R6,IF(O6&lt;&gt;"",O6*R6,IF(J6&lt;&gt;"",J6*R6,""))))</f>
        <v/>
      </c>
      <c r="U6" s="32">
        <f>IF(AND(H6&lt;&gt;"",T6&lt;&gt;""),T6*H6,IF(L6&lt;&gt;"",S6*L6,""))</f>
        <v>2</v>
      </c>
      <c r="V6" s="135" t="str">
        <f>IFERROR(IF(AND(U6&lt;&gt;"",I6&lt;&gt;""),U6/I6,IF(AND(S6&lt;&gt;"",K6&lt;&gt;""),K6*S6,"")),"")</f>
        <v/>
      </c>
      <c r="W6" s="136" t="str">
        <f>IFERROR(IF(B6&lt;&gt;"",T6-Q6,""),"")</f>
        <v/>
      </c>
      <c r="X6" s="136" t="str">
        <f>IFERROR(IF(B6&lt;&gt;"",U6-(P6/1000),""),"")</f>
        <v/>
      </c>
      <c r="Y6" s="136">
        <f t="shared" si="2"/>
        <v>1.4910907328710952E-2</v>
      </c>
      <c r="Z6" s="136">
        <f t="shared" si="3"/>
        <v>2</v>
      </c>
      <c r="AA6" s="137" t="str">
        <f>IF(AM6&lt;&gt;"",AM6/H6,IF(AND(C6=D6,C6&lt;&gt;""),Y6,IF(M6&lt;&gt;"",M6*Y6,IF(J6&lt;&gt;"",J6*Y6,""))))</f>
        <v/>
      </c>
      <c r="AB6" s="135">
        <f>IF(AND(H6&lt;&gt;"",AA6&lt;&gt;""),AA6*H6,IF(L6&lt;&gt;"",Z6*L6,""))</f>
        <v>2</v>
      </c>
      <c r="AC6" s="135" t="str">
        <f>IFERROR(IF(AND(AB6&lt;&gt;"",I6&lt;&gt;""),AB6/I6,IF(AND(Z6&lt;&gt;"",K6&lt;&gt;""),K6*Z6,"")),"")</f>
        <v/>
      </c>
      <c r="AD6" s="136" t="str">
        <f>IFERROR(IF(B6&lt;&gt;"",AA6-Q6,""),"")</f>
        <v/>
      </c>
      <c r="AE6" s="136" t="str">
        <f>IFERROR(IF(B6&lt;&gt;"",AB6-(P6/1000),""),"")</f>
        <v/>
      </c>
      <c r="AF6" s="136">
        <f t="shared" si="4"/>
        <v>1.4910907328710952E-2</v>
      </c>
      <c r="AG6" s="136">
        <f t="shared" si="5"/>
        <v>2</v>
      </c>
      <c r="AH6" s="137" t="str">
        <f>IF(AM6&lt;&gt;"",AM6/H6,IF(AND(C6=D6,C6&lt;&gt;""),AF6,IF(N6&lt;&gt;"",N6*AF6,IF(J6&lt;&gt;"",J6*AF6,""))))</f>
        <v/>
      </c>
      <c r="AI6" s="135">
        <f>IF(AND(H6&lt;&gt;"",AH6&lt;&gt;""),AH6*H6,IF(L6&lt;&gt;"",AG6*L6,""))</f>
        <v>2</v>
      </c>
      <c r="AJ6" s="135" t="str">
        <f>IFERROR(IF(AND(AI6&lt;&gt;"",I6&lt;&gt;""),AI6/I6,IF(AND(AG6&lt;&gt;"",K6&lt;&gt;""),K6*AG6,"")),"")</f>
        <v/>
      </c>
      <c r="AK6" s="31" t="str">
        <f>IFERROR(IF(B6&lt;&gt;"",AH6-Q6,""),"")</f>
        <v/>
      </c>
      <c r="AL6" s="31" t="str">
        <f>IFERROR(IF(B6&lt;&gt;"",AI6-(P6/1000),""),"")</f>
        <v/>
      </c>
      <c r="AP6" t="s">
        <v>913</v>
      </c>
    </row>
    <row r="7" spans="1:42" x14ac:dyDescent="0.25">
      <c r="A7" t="s">
        <v>3</v>
      </c>
      <c r="C7" t="s">
        <v>244</v>
      </c>
      <c r="D7" s="5" t="s">
        <v>247</v>
      </c>
      <c r="E7" s="16"/>
      <c r="F7" s="5"/>
      <c r="G7" s="5"/>
      <c r="H7" s="5" t="str">
        <f>IFERROR(VLOOKUP(E7,'Chemical data ref sheet'!$A$1:$E$163,4,FALSE),"")</f>
        <v/>
      </c>
      <c r="I7" s="5" t="str">
        <f>IFERROR(VLOOKUP(E7,'Chemical data ref sheet'!$A$1:$E$163,5,FALSE),"")</f>
        <v/>
      </c>
      <c r="J7" s="7"/>
      <c r="K7" s="7"/>
      <c r="L7" s="290">
        <v>4.46</v>
      </c>
      <c r="M7" s="7"/>
      <c r="N7" s="7"/>
      <c r="O7" s="7"/>
      <c r="P7" s="133">
        <f>SUMIFS('Product samples'!E:E, 'Product samples'!A:A, B7)</f>
        <v>0</v>
      </c>
      <c r="Q7" s="134">
        <f t="shared" si="6"/>
        <v>0</v>
      </c>
      <c r="R7" s="57">
        <f t="shared" si="0"/>
        <v>4.4732721986132859E-2</v>
      </c>
      <c r="S7" s="135">
        <f t="shared" si="1"/>
        <v>6</v>
      </c>
      <c r="T7" s="132" t="str">
        <f t="shared" si="7"/>
        <v/>
      </c>
      <c r="U7" s="32">
        <f t="shared" si="8"/>
        <v>26.759999999999998</v>
      </c>
      <c r="V7" s="135" t="str">
        <f t="shared" si="9"/>
        <v/>
      </c>
      <c r="W7" s="136" t="str">
        <f t="shared" si="10"/>
        <v/>
      </c>
      <c r="X7" s="136" t="str">
        <f t="shared" si="11"/>
        <v/>
      </c>
      <c r="Y7" s="136">
        <f t="shared" si="2"/>
        <v>4.4732721986132859E-2</v>
      </c>
      <c r="Z7" s="136">
        <f t="shared" si="3"/>
        <v>6</v>
      </c>
      <c r="AA7" s="137" t="str">
        <f t="shared" si="12"/>
        <v/>
      </c>
      <c r="AB7" s="135">
        <f t="shared" si="13"/>
        <v>26.759999999999998</v>
      </c>
      <c r="AC7" s="135" t="str">
        <f t="shared" si="14"/>
        <v/>
      </c>
      <c r="AD7" s="136" t="str">
        <f t="shared" si="15"/>
        <v/>
      </c>
      <c r="AE7" s="136" t="str">
        <f t="shared" si="16"/>
        <v/>
      </c>
      <c r="AF7" s="136">
        <f t="shared" si="4"/>
        <v>4.4732721986132859E-2</v>
      </c>
      <c r="AG7" s="136">
        <f t="shared" si="5"/>
        <v>6</v>
      </c>
      <c r="AH7" s="137" t="str">
        <f t="shared" si="17"/>
        <v/>
      </c>
      <c r="AI7" s="135">
        <f t="shared" si="18"/>
        <v>26.759999999999998</v>
      </c>
      <c r="AJ7" s="135" t="str">
        <f t="shared" si="19"/>
        <v/>
      </c>
      <c r="AK7" s="31" t="str">
        <f>IFERROR(IF(B7&lt;&gt;"",AH7-Q7,""),"")</f>
        <v/>
      </c>
      <c r="AL7" s="31" t="str">
        <f>IFERROR(IF(B7&lt;&gt;"",AI7-(Q7/1000),""),"")</f>
        <v/>
      </c>
    </row>
    <row r="8" spans="1:42" x14ac:dyDescent="0.25">
      <c r="A8" t="s">
        <v>3</v>
      </c>
      <c r="C8" t="s">
        <v>244</v>
      </c>
      <c r="D8" s="5" t="s">
        <v>248</v>
      </c>
      <c r="E8" s="129"/>
      <c r="F8" s="5" t="str">
        <f>IFERROR(VLOOKUP(E8,'Chemical data ref sheet'!$A$1:$E$163,3,FALSE),"")</f>
        <v/>
      </c>
      <c r="G8" s="5"/>
      <c r="H8" s="5">
        <v>18</v>
      </c>
      <c r="I8" s="5" t="str">
        <f>IFERROR(VLOOKUP(E8,'Chemical data ref sheet'!$A$1:$E$163,5,FALSE),"")</f>
        <v/>
      </c>
      <c r="J8" s="7"/>
      <c r="K8" s="7"/>
      <c r="L8" s="290">
        <v>14</v>
      </c>
      <c r="M8" s="7"/>
      <c r="N8" s="7"/>
      <c r="O8" s="7"/>
      <c r="P8" s="133">
        <f>SUMIFS('Product samples'!E:E, 'Product samples'!A:A, B8)</f>
        <v>0</v>
      </c>
      <c r="Q8" s="134">
        <f t="shared" si="6"/>
        <v>0</v>
      </c>
      <c r="R8" s="57">
        <f t="shared" si="0"/>
        <v>4.4732721986132859E-2</v>
      </c>
      <c r="S8" s="135">
        <f t="shared" si="1"/>
        <v>6</v>
      </c>
      <c r="T8" s="132" t="str">
        <f t="shared" si="7"/>
        <v/>
      </c>
      <c r="U8" s="32">
        <f t="shared" si="8"/>
        <v>84</v>
      </c>
      <c r="V8" s="135" t="str">
        <f t="shared" si="9"/>
        <v/>
      </c>
      <c r="W8" s="136" t="str">
        <f t="shared" si="10"/>
        <v/>
      </c>
      <c r="X8" s="136" t="str">
        <f t="shared" si="11"/>
        <v/>
      </c>
      <c r="Y8" s="136">
        <f t="shared" si="2"/>
        <v>4.4732721986132859E-2</v>
      </c>
      <c r="Z8" s="136">
        <f t="shared" si="3"/>
        <v>6</v>
      </c>
      <c r="AA8" s="137" t="str">
        <f t="shared" si="12"/>
        <v/>
      </c>
      <c r="AB8" s="135">
        <f t="shared" si="13"/>
        <v>84</v>
      </c>
      <c r="AC8" s="135" t="str">
        <f t="shared" si="14"/>
        <v/>
      </c>
      <c r="AD8" s="136" t="str">
        <f t="shared" si="15"/>
        <v/>
      </c>
      <c r="AE8" s="136" t="str">
        <f t="shared" si="16"/>
        <v/>
      </c>
      <c r="AF8" s="136">
        <f t="shared" si="4"/>
        <v>4.4732721986132859E-2</v>
      </c>
      <c r="AG8" s="136">
        <f t="shared" si="5"/>
        <v>6</v>
      </c>
      <c r="AH8" s="137" t="str">
        <f t="shared" si="17"/>
        <v/>
      </c>
      <c r="AI8" s="135">
        <f t="shared" si="18"/>
        <v>84</v>
      </c>
      <c r="AJ8" s="135" t="str">
        <f t="shared" si="19"/>
        <v/>
      </c>
      <c r="AK8" s="31" t="str">
        <f t="shared" si="20"/>
        <v/>
      </c>
      <c r="AL8" s="31" t="str">
        <f t="shared" si="21"/>
        <v/>
      </c>
      <c r="AP8" t="s">
        <v>914</v>
      </c>
    </row>
    <row r="9" spans="1:42" x14ac:dyDescent="0.25">
      <c r="A9" t="s">
        <v>3</v>
      </c>
      <c r="C9" t="s">
        <v>244</v>
      </c>
      <c r="D9" s="5" t="str">
        <f>IFERROR(VLOOKUP(E9,'Chemical data ref sheet'!$A$1:$E$163,2,FALSE),"")</f>
        <v>Hydrochloric acid 35%</v>
      </c>
      <c r="E9" s="131" t="s">
        <v>134</v>
      </c>
      <c r="F9" s="5"/>
      <c r="G9" s="5"/>
      <c r="H9" s="5">
        <f>IFERROR(VLOOKUP(E9,'Chemical data ref sheet'!$A$1:$E$163,4,FALSE),"")</f>
        <v>36.46</v>
      </c>
      <c r="I9" s="5">
        <f>IFERROR(VLOOKUP(E9,'Chemical data ref sheet'!$A$1:$E$163,5,FALSE),"")</f>
        <v>1.2</v>
      </c>
      <c r="J9" s="7"/>
      <c r="K9" s="7"/>
      <c r="L9" s="290">
        <v>2.33</v>
      </c>
      <c r="M9" s="7"/>
      <c r="N9" s="7"/>
      <c r="O9" s="7"/>
      <c r="P9" s="133">
        <f>SUMIFS('Product samples'!E:E, 'Product samples'!A:A, B9)</f>
        <v>0</v>
      </c>
      <c r="Q9" s="134">
        <f t="shared" si="6"/>
        <v>0</v>
      </c>
      <c r="R9" s="57">
        <f t="shared" si="0"/>
        <v>4.4732721986132859E-2</v>
      </c>
      <c r="S9" s="135">
        <f t="shared" si="1"/>
        <v>6</v>
      </c>
      <c r="T9" s="132" t="str">
        <f t="shared" si="7"/>
        <v/>
      </c>
      <c r="U9" s="32">
        <f t="shared" si="8"/>
        <v>13.98</v>
      </c>
      <c r="V9" s="135">
        <f t="shared" si="9"/>
        <v>11.65</v>
      </c>
      <c r="W9" s="136" t="str">
        <f t="shared" si="10"/>
        <v/>
      </c>
      <c r="X9" s="136" t="str">
        <f t="shared" si="11"/>
        <v/>
      </c>
      <c r="Y9" s="136">
        <f t="shared" si="2"/>
        <v>4.4732721986132859E-2</v>
      </c>
      <c r="Z9" s="136">
        <f t="shared" si="3"/>
        <v>6</v>
      </c>
      <c r="AA9" s="137" t="str">
        <f t="shared" si="12"/>
        <v/>
      </c>
      <c r="AB9" s="135">
        <f t="shared" si="13"/>
        <v>13.98</v>
      </c>
      <c r="AC9" s="135">
        <f t="shared" si="14"/>
        <v>11.65</v>
      </c>
      <c r="AD9" s="136" t="str">
        <f t="shared" si="15"/>
        <v/>
      </c>
      <c r="AE9" s="136" t="str">
        <f t="shared" si="16"/>
        <v/>
      </c>
      <c r="AF9" s="136">
        <f t="shared" si="4"/>
        <v>4.4732721986132859E-2</v>
      </c>
      <c r="AG9" s="136">
        <f t="shared" si="5"/>
        <v>6</v>
      </c>
      <c r="AH9" s="137" t="str">
        <f t="shared" si="17"/>
        <v/>
      </c>
      <c r="AI9" s="135">
        <f t="shared" si="18"/>
        <v>13.98</v>
      </c>
      <c r="AJ9" s="135">
        <f t="shared" si="19"/>
        <v>11.65</v>
      </c>
      <c r="AK9" s="31" t="str">
        <f>IFERROR(IF(B9&lt;&gt;"",AH9-Q9,""),"")</f>
        <v/>
      </c>
      <c r="AL9" s="31" t="str">
        <f>IFERROR(IF(B9&lt;&gt;"",AI9-(Q9/1000),""),"")</f>
        <v/>
      </c>
    </row>
    <row r="10" spans="1:42" x14ac:dyDescent="0.25">
      <c r="A10" t="s">
        <v>3</v>
      </c>
      <c r="C10" t="s">
        <v>244</v>
      </c>
      <c r="D10" s="5" t="s">
        <v>248</v>
      </c>
      <c r="E10" s="4" t="s">
        <v>84</v>
      </c>
      <c r="F10" s="5">
        <f>IFERROR(VLOOKUP(E10,'Chemical data ref sheet'!$A$1:$E$163,3,FALSE),"")</f>
        <v>0</v>
      </c>
      <c r="G10" s="5"/>
      <c r="H10" s="5">
        <f>IFERROR(VLOOKUP(E10,'Chemical data ref sheet'!$A$1:$E$163,4,FALSE),"")</f>
        <v>46.067999999999998</v>
      </c>
      <c r="I10" s="5"/>
      <c r="J10" s="7"/>
      <c r="K10" s="7"/>
      <c r="L10" s="290">
        <v>3</v>
      </c>
      <c r="M10" s="7"/>
      <c r="N10" s="7"/>
      <c r="O10" s="7"/>
      <c r="P10" s="133">
        <f>SUMIFS('Product samples'!E:E, 'Product samples'!A:A, B10)</f>
        <v>0</v>
      </c>
      <c r="Q10" s="134">
        <f t="shared" si="6"/>
        <v>0</v>
      </c>
      <c r="R10" s="57">
        <f t="shared" si="0"/>
        <v>4.4732721986132859E-2</v>
      </c>
      <c r="S10" s="135">
        <f t="shared" si="1"/>
        <v>6</v>
      </c>
      <c r="T10" s="132" t="str">
        <f t="shared" si="7"/>
        <v/>
      </c>
      <c r="U10" s="32">
        <f t="shared" si="8"/>
        <v>18</v>
      </c>
      <c r="V10" s="135" t="str">
        <f t="shared" si="9"/>
        <v/>
      </c>
      <c r="W10" s="136" t="str">
        <f t="shared" si="10"/>
        <v/>
      </c>
      <c r="X10" s="136" t="str">
        <f t="shared" si="11"/>
        <v/>
      </c>
      <c r="Y10" s="136">
        <f t="shared" si="2"/>
        <v>4.4732721986132859E-2</v>
      </c>
      <c r="Z10" s="136">
        <f t="shared" si="3"/>
        <v>6</v>
      </c>
      <c r="AA10" s="137" t="str">
        <f t="shared" si="12"/>
        <v/>
      </c>
      <c r="AB10" s="135">
        <f t="shared" si="13"/>
        <v>18</v>
      </c>
      <c r="AC10" s="135" t="str">
        <f t="shared" si="14"/>
        <v/>
      </c>
      <c r="AD10" s="136" t="str">
        <f t="shared" si="15"/>
        <v/>
      </c>
      <c r="AE10" s="136" t="str">
        <f t="shared" si="16"/>
        <v/>
      </c>
      <c r="AF10" s="136">
        <f t="shared" si="4"/>
        <v>4.4732721986132859E-2</v>
      </c>
      <c r="AG10" s="136">
        <f t="shared" si="5"/>
        <v>6</v>
      </c>
      <c r="AH10" s="137" t="str">
        <f t="shared" si="17"/>
        <v/>
      </c>
      <c r="AI10" s="135">
        <f t="shared" si="18"/>
        <v>18</v>
      </c>
      <c r="AJ10" s="135" t="str">
        <f t="shared" si="19"/>
        <v/>
      </c>
      <c r="AK10" s="31" t="str">
        <f t="shared" si="20"/>
        <v/>
      </c>
      <c r="AL10" s="31" t="str">
        <f t="shared" si="21"/>
        <v/>
      </c>
      <c r="AP10" t="s">
        <v>918</v>
      </c>
    </row>
    <row r="11" spans="1:42" x14ac:dyDescent="0.25">
      <c r="A11" t="s">
        <v>3</v>
      </c>
      <c r="C11" t="s">
        <v>244</v>
      </c>
      <c r="D11" s="5" t="s">
        <v>248</v>
      </c>
      <c r="E11" s="4" t="s">
        <v>84</v>
      </c>
      <c r="F11" s="5">
        <f>IFERROR(VLOOKUP(E11,'Chemical data ref sheet'!$A$1:$E$163,3,FALSE),"")</f>
        <v>0</v>
      </c>
      <c r="G11" s="5"/>
      <c r="H11" s="5">
        <f>IFERROR(VLOOKUP(E11,'Chemical data ref sheet'!$A$1:$E$163,4,FALSE),"")</f>
        <v>46.067999999999998</v>
      </c>
      <c r="I11" s="5"/>
      <c r="J11" s="7"/>
      <c r="K11" s="7"/>
      <c r="L11" s="290">
        <v>3</v>
      </c>
      <c r="M11" s="7"/>
      <c r="N11" s="7"/>
      <c r="O11" s="7"/>
      <c r="P11" s="133">
        <f>SUMIFS('Product samples'!E:E, 'Product samples'!A:A, B11)</f>
        <v>0</v>
      </c>
      <c r="Q11" s="134">
        <f>IFERROR((P11/1000)/H11,0)</f>
        <v>0</v>
      </c>
      <c r="R11" s="57">
        <f t="shared" si="0"/>
        <v>4.4732721986132859E-2</v>
      </c>
      <c r="S11" s="135">
        <f t="shared" si="1"/>
        <v>6</v>
      </c>
      <c r="T11" s="132" t="str">
        <f>IF(AM11&lt;&gt;"",AM11/H11,IF(AND(C11=D11,C11&lt;&gt;""),R11,IF(O11&lt;&gt;"",O11*R11,IF(J11&lt;&gt;"",J11*R11,""))))</f>
        <v/>
      </c>
      <c r="U11" s="32">
        <f>IF(AND(H11&lt;&gt;"",T11&lt;&gt;""),T11*H11,IF(L11&lt;&gt;"",S11*L11,""))</f>
        <v>18</v>
      </c>
      <c r="V11" s="135" t="str">
        <f>IFERROR(IF(AND(U11&lt;&gt;"",I11&lt;&gt;""),U11/I11,IF(AND(S11&lt;&gt;"",K11&lt;&gt;""),K11*S11,"")),"")</f>
        <v/>
      </c>
      <c r="W11" s="136" t="str">
        <f>IFERROR(IF(B11&lt;&gt;"",T11-Q11,""),"")</f>
        <v/>
      </c>
      <c r="X11" s="136" t="str">
        <f>IFERROR(IF(B11&lt;&gt;"",U11-(P11/1000),""),"")</f>
        <v/>
      </c>
      <c r="Y11" s="136">
        <f t="shared" si="2"/>
        <v>4.4732721986132859E-2</v>
      </c>
      <c r="Z11" s="136">
        <f t="shared" si="3"/>
        <v>6</v>
      </c>
      <c r="AA11" s="137" t="str">
        <f>IF(AM11&lt;&gt;"",AM11/H11,IF(AND(C11=D11,C11&lt;&gt;""),Y11,IF(M11&lt;&gt;"",M11*Y11,IF(J11&lt;&gt;"",J11*Y11,""))))</f>
        <v/>
      </c>
      <c r="AB11" s="135">
        <f>IF(AND(H11&lt;&gt;"",AA11&lt;&gt;""),AA11*H11,IF(L11&lt;&gt;"",Z11*L11,""))</f>
        <v>18</v>
      </c>
      <c r="AC11" s="135" t="str">
        <f>IFERROR(IF(AND(AB11&lt;&gt;"",I11&lt;&gt;""),AB11/I11,IF(AND(Z11&lt;&gt;"",K11&lt;&gt;""),K11*Z11,"")),"")</f>
        <v/>
      </c>
      <c r="AD11" s="136" t="str">
        <f>IFERROR(IF(B11&lt;&gt;"",AA11-Q11,""),"")</f>
        <v/>
      </c>
      <c r="AE11" s="136" t="str">
        <f>IFERROR(IF(B11&lt;&gt;"",AB11-(P11/1000),""),"")</f>
        <v/>
      </c>
      <c r="AF11" s="136">
        <f t="shared" si="4"/>
        <v>4.4732721986132859E-2</v>
      </c>
      <c r="AG11" s="136">
        <f t="shared" si="5"/>
        <v>6</v>
      </c>
      <c r="AH11" s="137" t="str">
        <f>IF(AM11&lt;&gt;"",AM11/H11,IF(AND(C11=D11,C11&lt;&gt;""),AF11,IF(N11&lt;&gt;"",N11*AF11,IF(J11&lt;&gt;"",J11*AF11,""))))</f>
        <v/>
      </c>
      <c r="AI11" s="135">
        <f>IF(AND(H11&lt;&gt;"",AH11&lt;&gt;""),AH11*H11,IF(L11&lt;&gt;"",AG11*L11,""))</f>
        <v>18</v>
      </c>
      <c r="AJ11" s="135" t="str">
        <f>IFERROR(IF(AND(AI11&lt;&gt;"",I11&lt;&gt;""),AI11/I11,IF(AND(AG11&lt;&gt;"",K11&lt;&gt;""),K11*AG11,"")),"")</f>
        <v/>
      </c>
      <c r="AK11" s="31" t="str">
        <f>IFERROR(IF(B11&lt;&gt;"",AH11-Q11,""),"")</f>
        <v/>
      </c>
      <c r="AL11" s="31" t="str">
        <f>IFERROR(IF(B11&lt;&gt;"",AI11-(P11/1000),""),"")</f>
        <v/>
      </c>
      <c r="AP11" t="s">
        <v>919</v>
      </c>
    </row>
    <row r="12" spans="1:42" x14ac:dyDescent="0.25">
      <c r="A12" t="s">
        <v>3</v>
      </c>
      <c r="C12" t="s">
        <v>244</v>
      </c>
      <c r="D12" s="5" t="s">
        <v>248</v>
      </c>
      <c r="E12" s="4" t="s">
        <v>84</v>
      </c>
      <c r="F12" s="5">
        <f>IFERROR(VLOOKUP(E12,'Chemical data ref sheet'!$A$1:$E$163,3,FALSE),"")</f>
        <v>0</v>
      </c>
      <c r="G12" s="5"/>
      <c r="H12" s="5">
        <f>IFERROR(VLOOKUP(E12,'Chemical data ref sheet'!$A$1:$E$163,4,FALSE),"")</f>
        <v>46.067999999999998</v>
      </c>
      <c r="I12" s="5"/>
      <c r="J12" s="7"/>
      <c r="K12" s="7"/>
      <c r="L12" s="290">
        <v>3</v>
      </c>
      <c r="M12" s="7"/>
      <c r="N12" s="7"/>
      <c r="O12" s="7"/>
      <c r="P12" s="133">
        <f>SUMIFS('Product samples'!E:E, 'Product samples'!A:A, B12)</f>
        <v>0</v>
      </c>
      <c r="Q12" s="134">
        <f>IFERROR((P12/1000)/H12,0)</f>
        <v>0</v>
      </c>
      <c r="R12" s="57">
        <f t="shared" si="0"/>
        <v>4.4732721986132859E-2</v>
      </c>
      <c r="S12" s="135">
        <f t="shared" si="1"/>
        <v>6</v>
      </c>
      <c r="T12" s="132" t="str">
        <f>IF(AM12&lt;&gt;"",AM12/H12,IF(AND(C12=D12,C12&lt;&gt;""),R12,IF(O12&lt;&gt;"",O12*R12,IF(J12&lt;&gt;"",J12*R12,""))))</f>
        <v/>
      </c>
      <c r="U12" s="32">
        <f>IF(AND(H12&lt;&gt;"",T12&lt;&gt;""),T12*H12,IF(L12&lt;&gt;"",S12*L12,""))</f>
        <v>18</v>
      </c>
      <c r="V12" s="135" t="str">
        <f>IFERROR(IF(AND(U12&lt;&gt;"",I12&lt;&gt;""),U12/I12,IF(AND(S12&lt;&gt;"",K12&lt;&gt;""),K12*S12,"")),"")</f>
        <v/>
      </c>
      <c r="W12" s="136" t="str">
        <f>IFERROR(IF(B12&lt;&gt;"",T12-Q12,""),"")</f>
        <v/>
      </c>
      <c r="X12" s="136" t="str">
        <f>IFERROR(IF(B12&lt;&gt;"",U12-(P12/1000),""),"")</f>
        <v/>
      </c>
      <c r="Y12" s="136">
        <f t="shared" si="2"/>
        <v>4.4732721986132859E-2</v>
      </c>
      <c r="Z12" s="136">
        <f t="shared" si="3"/>
        <v>6</v>
      </c>
      <c r="AA12" s="137" t="str">
        <f>IF(AM12&lt;&gt;"",AM12/H12,IF(AND(C12=D12,C12&lt;&gt;""),Y12,IF(M12&lt;&gt;"",M12*Y12,IF(J12&lt;&gt;"",J12*Y12,""))))</f>
        <v/>
      </c>
      <c r="AB12" s="135">
        <f>IF(AND(H12&lt;&gt;"",AA12&lt;&gt;""),AA12*H12,IF(L12&lt;&gt;"",Z12*L12,""))</f>
        <v>18</v>
      </c>
      <c r="AC12" s="135" t="str">
        <f>IFERROR(IF(AND(AB12&lt;&gt;"",I12&lt;&gt;""),AB12/I12,IF(AND(Z12&lt;&gt;"",K12&lt;&gt;""),K12*Z12,"")),"")</f>
        <v/>
      </c>
      <c r="AD12" s="136" t="str">
        <f>IFERROR(IF(B12&lt;&gt;"",AA12-Q12,""),"")</f>
        <v/>
      </c>
      <c r="AE12" s="136" t="str">
        <f>IFERROR(IF(B12&lt;&gt;"",AB12-(P12/1000),""),"")</f>
        <v/>
      </c>
      <c r="AF12" s="136">
        <f t="shared" si="4"/>
        <v>4.4732721986132859E-2</v>
      </c>
      <c r="AG12" s="136">
        <f t="shared" si="5"/>
        <v>6</v>
      </c>
      <c r="AH12" s="137" t="str">
        <f>IF(AM12&lt;&gt;"",AM12/H12,IF(AND(C12=D12,C12&lt;&gt;""),AF12,IF(N12&lt;&gt;"",N12*AF12,IF(J12&lt;&gt;"",J12*AF12,""))))</f>
        <v/>
      </c>
      <c r="AI12" s="135">
        <f>IF(AND(H12&lt;&gt;"",AH12&lt;&gt;""),AH12*H12,IF(L12&lt;&gt;"",AG12*L12,""))</f>
        <v>18</v>
      </c>
      <c r="AJ12" s="135" t="str">
        <f>IFERROR(IF(AND(AI12&lt;&gt;"",I12&lt;&gt;""),AI12/I12,IF(AND(AG12&lt;&gt;"",K12&lt;&gt;""),K12*AG12,"")),"")</f>
        <v/>
      </c>
      <c r="AK12" s="31" t="str">
        <f>IFERROR(IF(B12&lt;&gt;"",AH12-Q12,""),"")</f>
        <v/>
      </c>
      <c r="AL12" s="31" t="str">
        <f>IFERROR(IF(B12&lt;&gt;"",AI12-(P12/1000),""),"")</f>
        <v/>
      </c>
      <c r="AP12" t="s">
        <v>920</v>
      </c>
    </row>
    <row r="13" spans="1:42" x14ac:dyDescent="0.25">
      <c r="A13" t="s">
        <v>3</v>
      </c>
      <c r="C13" t="s">
        <v>244</v>
      </c>
      <c r="D13" s="5" t="str">
        <f>IFERROR(VLOOKUP(E13,'Chemical data ref sheet'!$A$1:$E$163,2,FALSE),"")</f>
        <v>2-propanol</v>
      </c>
      <c r="E13" s="16" t="s">
        <v>77</v>
      </c>
      <c r="F13" s="5"/>
      <c r="G13" s="5"/>
      <c r="H13" s="5">
        <f>IFERROR(VLOOKUP(E13,'Chemical data ref sheet'!$A$1:$E$163,4,FALSE),"")</f>
        <v>60.1</v>
      </c>
      <c r="I13" s="5">
        <f>IFERROR(VLOOKUP(E13,'Chemical data ref sheet'!$A$1:$E$163,5,FALSE),"")</f>
        <v>0.78600000000000003</v>
      </c>
      <c r="J13" s="7"/>
      <c r="K13" s="7"/>
      <c r="L13" s="290">
        <v>2.33</v>
      </c>
      <c r="M13" s="7"/>
      <c r="N13" s="7"/>
      <c r="O13" s="7"/>
      <c r="P13" s="133">
        <f>SUMIFS('Product samples'!E:E, 'Product samples'!A:A, B13)</f>
        <v>0</v>
      </c>
      <c r="Q13" s="134">
        <f>IFERROR((P13/1000)/H13,0)</f>
        <v>0</v>
      </c>
      <c r="R13" s="57">
        <f t="shared" si="0"/>
        <v>4.4732721986132859E-2</v>
      </c>
      <c r="S13" s="135">
        <f t="shared" si="1"/>
        <v>6</v>
      </c>
      <c r="T13" s="132" t="str">
        <f>IF(AM13&lt;&gt;"",AM13/H13,IF(AND(C13=D13,C13&lt;&gt;""),R13,IF(O13&lt;&gt;"",O13*R13,IF(J13&lt;&gt;"",J13*R13,""))))</f>
        <v/>
      </c>
      <c r="U13" s="32">
        <f>IF(AND(H13&lt;&gt;"",T13&lt;&gt;""),T13*H13,IF(L13&lt;&gt;"",S13*L13,""))</f>
        <v>13.98</v>
      </c>
      <c r="V13" s="135">
        <f>IFERROR(IF(AND(U13&lt;&gt;"",I13&lt;&gt;""),U13/I13,IF(AND(S13&lt;&gt;"",K13&lt;&gt;""),K13*S13,"")),"")</f>
        <v>17.786259541984734</v>
      </c>
      <c r="W13" s="136" t="str">
        <f>IFERROR(IF(B13&lt;&gt;"",T13-Q13,""),"")</f>
        <v/>
      </c>
      <c r="X13" s="136" t="str">
        <f>IFERROR(IF(B13&lt;&gt;"",U13-(P13/1000),""),"")</f>
        <v/>
      </c>
      <c r="Y13" s="136">
        <f t="shared" si="2"/>
        <v>4.4732721986132859E-2</v>
      </c>
      <c r="Z13" s="136">
        <f t="shared" si="3"/>
        <v>6</v>
      </c>
      <c r="AA13" s="137" t="str">
        <f>IF(AM13&lt;&gt;"",AM13/H13,IF(AND(C13=D13,C13&lt;&gt;""),Y13,IF(M13&lt;&gt;"",M13*Y13,IF(J13&lt;&gt;"",J13*Y13,""))))</f>
        <v/>
      </c>
      <c r="AB13" s="135">
        <f>IF(AND(H13&lt;&gt;"",AA13&lt;&gt;""),AA13*H13,IF(L13&lt;&gt;"",Z13*L13,""))</f>
        <v>13.98</v>
      </c>
      <c r="AC13" s="135">
        <f>IFERROR(IF(AND(AB13&lt;&gt;"",I13&lt;&gt;""),AB13/I13,IF(AND(Z13&lt;&gt;"",K13&lt;&gt;""),K13*Z13,"")),"")</f>
        <v>17.786259541984734</v>
      </c>
      <c r="AD13" s="136" t="str">
        <f>IFERROR(IF(B13&lt;&gt;"",AA13-Q13,""),"")</f>
        <v/>
      </c>
      <c r="AE13" s="136" t="str">
        <f>IFERROR(IF(B13&lt;&gt;"",AB13-(P13/1000),""),"")</f>
        <v/>
      </c>
      <c r="AF13" s="136">
        <f t="shared" si="4"/>
        <v>4.4732721986132859E-2</v>
      </c>
      <c r="AG13" s="136">
        <f t="shared" si="5"/>
        <v>6</v>
      </c>
      <c r="AH13" s="137" t="str">
        <f>IF(AM13&lt;&gt;"",AM13/H13,IF(AND(C13=D13,C13&lt;&gt;""),AF13,IF(N13&lt;&gt;"",N13*AF13,IF(J13&lt;&gt;"",J13*AF13,""))))</f>
        <v/>
      </c>
      <c r="AI13" s="135">
        <f>IF(AND(H13&lt;&gt;"",AH13&lt;&gt;""),AH13*H13,IF(L13&lt;&gt;"",AG13*L13,""))</f>
        <v>13.98</v>
      </c>
      <c r="AJ13" s="135">
        <f>IFERROR(IF(AND(AI13&lt;&gt;"",I13&lt;&gt;""),AI13/I13,IF(AND(AG13&lt;&gt;"",K13&lt;&gt;""),K13*AG13,"")),"")</f>
        <v>17.786259541984734</v>
      </c>
      <c r="AK13" s="31" t="str">
        <f>IFERROR(IF(B13&lt;&gt;"",AH13-Q13,""),"")</f>
        <v/>
      </c>
      <c r="AL13" s="31" t="str">
        <f>IFERROR(IF(B13&lt;&gt;"",AI13-(Q13/1000),""),"")</f>
        <v/>
      </c>
      <c r="AP13" t="s">
        <v>923</v>
      </c>
    </row>
    <row r="14" spans="1:42" x14ac:dyDescent="0.25">
      <c r="A14" t="s">
        <v>3</v>
      </c>
      <c r="C14" t="s">
        <v>244</v>
      </c>
      <c r="D14" s="5" t="str">
        <f>IFERROR(VLOOKUP(E14,'Chemical data ref sheet'!$A$1:$E$163,2,FALSE),"")</f>
        <v>2-propanol</v>
      </c>
      <c r="E14" s="16" t="s">
        <v>77</v>
      </c>
      <c r="F14" s="5"/>
      <c r="G14" s="5"/>
      <c r="H14" s="5">
        <f>IFERROR(VLOOKUP(E14,'Chemical data ref sheet'!$A$1:$E$163,4,FALSE),"")</f>
        <v>60.1</v>
      </c>
      <c r="I14" s="5">
        <f>IFERROR(VLOOKUP(E14,'Chemical data ref sheet'!$A$1:$E$163,5,FALSE),"")</f>
        <v>0.78600000000000003</v>
      </c>
      <c r="J14" s="7"/>
      <c r="K14" s="7"/>
      <c r="L14" s="290">
        <v>2.33</v>
      </c>
      <c r="M14" s="7"/>
      <c r="N14" s="7"/>
      <c r="O14" s="7"/>
      <c r="P14" s="133">
        <f>SUMIFS('Product samples'!E:E, 'Product samples'!A:A, B14)</f>
        <v>0</v>
      </c>
      <c r="Q14" s="134">
        <f>IFERROR((P14/1000)/H14,0)</f>
        <v>0</v>
      </c>
      <c r="R14" s="57">
        <f t="shared" si="0"/>
        <v>4.4732721986132859E-2</v>
      </c>
      <c r="S14" s="135">
        <f t="shared" si="1"/>
        <v>6</v>
      </c>
      <c r="T14" s="132" t="str">
        <f>IF(AM14&lt;&gt;"",AM14/H14,IF(AND(C14=D14,C14&lt;&gt;""),R14,IF(O14&lt;&gt;"",O14*R14,IF(J14&lt;&gt;"",J14*R14,""))))</f>
        <v/>
      </c>
      <c r="U14" s="32">
        <f>IF(AND(H14&lt;&gt;"",T14&lt;&gt;""),T14*H14,IF(L14&lt;&gt;"",S14*L14,""))</f>
        <v>13.98</v>
      </c>
      <c r="V14" s="135">
        <f>IFERROR(IF(AND(U14&lt;&gt;"",I14&lt;&gt;""),U14/I14,IF(AND(S14&lt;&gt;"",K14&lt;&gt;""),K14*S14,"")),"")</f>
        <v>17.786259541984734</v>
      </c>
      <c r="W14" s="136" t="str">
        <f>IFERROR(IF(B14&lt;&gt;"",T14-Q14,""),"")</f>
        <v/>
      </c>
      <c r="X14" s="136" t="str">
        <f>IFERROR(IF(B14&lt;&gt;"",U14-(P14/1000),""),"")</f>
        <v/>
      </c>
      <c r="Y14" s="136">
        <f t="shared" si="2"/>
        <v>4.4732721986132859E-2</v>
      </c>
      <c r="Z14" s="136">
        <f t="shared" si="3"/>
        <v>6</v>
      </c>
      <c r="AA14" s="137" t="str">
        <f>IF(AM14&lt;&gt;"",AM14/H14,IF(AND(C14=D14,C14&lt;&gt;""),Y14,IF(M14&lt;&gt;"",M14*Y14,IF(J14&lt;&gt;"",J14*Y14,""))))</f>
        <v/>
      </c>
      <c r="AB14" s="135">
        <f>IF(AND(H14&lt;&gt;"",AA14&lt;&gt;""),AA14*H14,IF(L14&lt;&gt;"",Z14*L14,""))</f>
        <v>13.98</v>
      </c>
      <c r="AC14" s="135">
        <f>IFERROR(IF(AND(AB14&lt;&gt;"",I14&lt;&gt;""),AB14/I14,IF(AND(Z14&lt;&gt;"",K14&lt;&gt;""),K14*Z14,"")),"")</f>
        <v>17.786259541984734</v>
      </c>
      <c r="AD14" s="136" t="str">
        <f>IFERROR(IF(B14&lt;&gt;"",AA14-Q14,""),"")</f>
        <v/>
      </c>
      <c r="AE14" s="136" t="str">
        <f>IFERROR(IF(B14&lt;&gt;"",AB14-(P14/1000),""),"")</f>
        <v/>
      </c>
      <c r="AF14" s="136">
        <f t="shared" si="4"/>
        <v>4.4732721986132859E-2</v>
      </c>
      <c r="AG14" s="136">
        <f t="shared" si="5"/>
        <v>6</v>
      </c>
      <c r="AH14" s="137" t="str">
        <f>IF(AM14&lt;&gt;"",AM14/H14,IF(AND(C14=D14,C14&lt;&gt;""),AF14,IF(N14&lt;&gt;"",N14*AF14,IF(J14&lt;&gt;"",J14*AF14,""))))</f>
        <v/>
      </c>
      <c r="AI14" s="135">
        <f>IF(AND(H14&lt;&gt;"",AH14&lt;&gt;""),AH14*H14,IF(L14&lt;&gt;"",AG14*L14,""))</f>
        <v>13.98</v>
      </c>
      <c r="AJ14" s="135">
        <f>IFERROR(IF(AND(AI14&lt;&gt;"",I14&lt;&gt;""),AI14/I14,IF(AND(AG14&lt;&gt;"",K14&lt;&gt;""),K14*AG14,"")),"")</f>
        <v>17.786259541984734</v>
      </c>
      <c r="AK14" s="31" t="str">
        <f>IFERROR(IF(B14&lt;&gt;"",AH14-Q14,""),"")</f>
        <v/>
      </c>
      <c r="AL14" s="31" t="str">
        <f>IFERROR(IF(B14&lt;&gt;"",AI14-(Q14/1000),""),"")</f>
        <v/>
      </c>
      <c r="AP14" t="s">
        <v>924</v>
      </c>
    </row>
    <row r="15" spans="1:42" x14ac:dyDescent="0.25">
      <c r="A15" t="s">
        <v>3</v>
      </c>
      <c r="B15" t="s">
        <v>7</v>
      </c>
      <c r="C15" t="s">
        <v>244</v>
      </c>
      <c r="D15" s="5" t="s">
        <v>7</v>
      </c>
      <c r="E15" s="16"/>
      <c r="F15" s="5" t="str">
        <f>IFERROR(VLOOKUP(E15,'Chemical data ref sheet'!$A$1:$E$163,3,FALSE),"")</f>
        <v/>
      </c>
      <c r="G15" s="5"/>
      <c r="H15" s="5">
        <v>319.33999999999997</v>
      </c>
      <c r="I15" s="5"/>
      <c r="J15" s="7"/>
      <c r="K15" s="7"/>
      <c r="L15" s="290"/>
      <c r="M15" s="7"/>
      <c r="N15" s="7"/>
      <c r="O15" s="7">
        <v>0.56000000000000005</v>
      </c>
      <c r="P15" s="133">
        <f>SUMIFS('Product samples'!E:E, 'Product samples'!A:A, B15)</f>
        <v>0</v>
      </c>
      <c r="Q15" s="134">
        <f t="shared" si="6"/>
        <v>0</v>
      </c>
      <c r="R15" s="57">
        <f t="shared" si="0"/>
        <v>4.4732721986132859E-2</v>
      </c>
      <c r="S15" s="135">
        <f t="shared" si="1"/>
        <v>6</v>
      </c>
      <c r="T15" s="132">
        <f t="shared" si="7"/>
        <v>2.5050324312234404E-2</v>
      </c>
      <c r="U15" s="32">
        <f t="shared" si="8"/>
        <v>7.9995705658689342</v>
      </c>
      <c r="V15" s="135" t="str">
        <f t="shared" si="9"/>
        <v/>
      </c>
      <c r="W15" s="136">
        <f t="shared" si="10"/>
        <v>2.5050324312234404E-2</v>
      </c>
      <c r="X15" s="136">
        <f t="shared" si="11"/>
        <v>7.9995705658689342</v>
      </c>
      <c r="Y15" s="136">
        <f t="shared" si="2"/>
        <v>4.4732721986132859E-2</v>
      </c>
      <c r="Z15" s="136">
        <f t="shared" si="3"/>
        <v>6</v>
      </c>
      <c r="AA15" s="137" t="str">
        <f t="shared" si="12"/>
        <v/>
      </c>
      <c r="AB15" s="135" t="str">
        <f t="shared" si="13"/>
        <v/>
      </c>
      <c r="AC15" s="135" t="str">
        <f t="shared" si="14"/>
        <v/>
      </c>
      <c r="AD15" s="136" t="str">
        <f t="shared" si="15"/>
        <v/>
      </c>
      <c r="AE15" s="136" t="str">
        <f t="shared" si="16"/>
        <v/>
      </c>
      <c r="AF15" s="136">
        <f t="shared" si="4"/>
        <v>4.4732721986132859E-2</v>
      </c>
      <c r="AG15" s="136">
        <f t="shared" si="5"/>
        <v>6</v>
      </c>
      <c r="AH15" s="137" t="str">
        <f t="shared" si="17"/>
        <v/>
      </c>
      <c r="AI15" s="135" t="str">
        <f t="shared" si="18"/>
        <v/>
      </c>
      <c r="AJ15" s="135" t="str">
        <f t="shared" si="19"/>
        <v/>
      </c>
      <c r="AK15" s="31" t="str">
        <f t="shared" si="20"/>
        <v/>
      </c>
      <c r="AL15" s="31" t="str">
        <f t="shared" si="21"/>
        <v/>
      </c>
    </row>
    <row r="16" spans="1:42" x14ac:dyDescent="0.25">
      <c r="D16" s="5" t="str">
        <f>IFERROR(VLOOKUP(E16,'Chemical data ref sheet'!$A$1:$E$163,2,FALSE),"")</f>
        <v/>
      </c>
      <c r="E16" s="16"/>
      <c r="F16" s="5" t="str">
        <f>IFERROR(VLOOKUP(E16,'Chemical data ref sheet'!$A$1:$E$163,3,FALSE),"")</f>
        <v/>
      </c>
      <c r="G16" s="5"/>
      <c r="H16" s="5" t="str">
        <f>IFERROR(VLOOKUP(E16,'Chemical data ref sheet'!$A$1:$E$163,4,FALSE),"")</f>
        <v/>
      </c>
      <c r="I16" s="5" t="str">
        <f>IFERROR(VLOOKUP(E16,'Chemical data ref sheet'!$A$1:$E$163,5,FALSE),"")</f>
        <v/>
      </c>
      <c r="J16" s="7"/>
      <c r="K16" s="7"/>
      <c r="L16" s="290"/>
      <c r="M16" s="7"/>
      <c r="N16" s="7"/>
      <c r="O16" s="7"/>
      <c r="P16" s="133">
        <f>SUMIFS('Product samples'!E:E, 'Product samples'!A:A, B16)</f>
        <v>0</v>
      </c>
      <c r="Q16" s="134">
        <f t="shared" si="6"/>
        <v>0</v>
      </c>
      <c r="R16" s="57" t="str">
        <f t="shared" si="0"/>
        <v/>
      </c>
      <c r="S16" s="135" t="str">
        <f t="shared" si="1"/>
        <v/>
      </c>
      <c r="T16" s="132" t="str">
        <f t="shared" si="7"/>
        <v/>
      </c>
      <c r="U16" s="32" t="str">
        <f t="shared" si="8"/>
        <v/>
      </c>
      <c r="V16" s="135" t="str">
        <f t="shared" si="9"/>
        <v/>
      </c>
      <c r="W16" s="136" t="str">
        <f t="shared" si="10"/>
        <v/>
      </c>
      <c r="X16" s="136" t="str">
        <f t="shared" si="11"/>
        <v/>
      </c>
      <c r="Y16" s="136" t="str">
        <f t="shared" si="2"/>
        <v/>
      </c>
      <c r="Z16" s="136" t="str">
        <f t="shared" si="3"/>
        <v/>
      </c>
      <c r="AA16" s="137" t="str">
        <f t="shared" si="12"/>
        <v/>
      </c>
      <c r="AB16" s="135" t="str">
        <f t="shared" si="13"/>
        <v/>
      </c>
      <c r="AC16" s="135" t="str">
        <f t="shared" si="14"/>
        <v/>
      </c>
      <c r="AD16" s="136" t="str">
        <f t="shared" si="15"/>
        <v/>
      </c>
      <c r="AE16" s="136" t="str">
        <f t="shared" si="16"/>
        <v/>
      </c>
      <c r="AF16" s="136" t="str">
        <f t="shared" si="4"/>
        <v/>
      </c>
      <c r="AG16" s="136" t="str">
        <f t="shared" si="5"/>
        <v/>
      </c>
      <c r="AH16" s="137" t="str">
        <f t="shared" si="17"/>
        <v/>
      </c>
      <c r="AI16" s="135" t="str">
        <f t="shared" si="18"/>
        <v/>
      </c>
      <c r="AJ16" s="135" t="str">
        <f t="shared" si="19"/>
        <v/>
      </c>
      <c r="AK16" s="31" t="str">
        <f t="shared" si="20"/>
        <v/>
      </c>
      <c r="AL16" s="31" t="str">
        <f t="shared" si="21"/>
        <v/>
      </c>
    </row>
    <row r="17" spans="1:42" x14ac:dyDescent="0.25">
      <c r="A17" t="s">
        <v>9</v>
      </c>
      <c r="C17" t="s">
        <v>7</v>
      </c>
      <c r="D17" s="5" t="str">
        <f>IFERROR(VLOOKUP(E17,'Chemical data ref sheet'!$A$1:$E$163,2,FALSE),"")</f>
        <v>Potassium carbonate</v>
      </c>
      <c r="E17" s="129" t="s">
        <v>105</v>
      </c>
      <c r="F17" s="5">
        <f>IFERROR(VLOOKUP(E17,'Chemical data ref sheet'!$A$1:$E$163,3,FALSE),"")</f>
        <v>0</v>
      </c>
      <c r="G17" s="5"/>
      <c r="H17" s="5">
        <f>IFERROR(VLOOKUP(E17,'Chemical data ref sheet'!$A$1:$E$163,4,FALSE),"")</f>
        <v>138.20500000000001</v>
      </c>
      <c r="I17" s="5"/>
      <c r="J17" s="7"/>
      <c r="K17" s="7"/>
      <c r="L17" s="290">
        <v>6.48</v>
      </c>
      <c r="M17" s="7"/>
      <c r="N17" s="7"/>
      <c r="O17" s="7"/>
      <c r="P17" s="133">
        <f>SUMIFS('Product samples'!E:E, 'Product samples'!A:A, B17)</f>
        <v>0</v>
      </c>
      <c r="Q17" s="134">
        <f t="shared" si="6"/>
        <v>0</v>
      </c>
      <c r="R17" s="57">
        <f t="shared" si="0"/>
        <v>2.5050324312234404E-2</v>
      </c>
      <c r="S17" s="135">
        <f t="shared" si="1"/>
        <v>7.9995705658689342</v>
      </c>
      <c r="T17" s="132" t="str">
        <f t="shared" si="7"/>
        <v/>
      </c>
      <c r="U17" s="32">
        <f t="shared" si="8"/>
        <v>51.837217266830699</v>
      </c>
      <c r="V17" s="135" t="str">
        <f t="shared" si="9"/>
        <v/>
      </c>
      <c r="W17" s="136" t="str">
        <f t="shared" si="10"/>
        <v/>
      </c>
      <c r="X17" s="136" t="str">
        <f t="shared" si="11"/>
        <v/>
      </c>
      <c r="Y17" s="136" t="str">
        <f t="shared" si="2"/>
        <v/>
      </c>
      <c r="Z17" s="136" t="str">
        <f t="shared" si="3"/>
        <v/>
      </c>
      <c r="AA17" s="137" t="str">
        <f t="shared" si="12"/>
        <v/>
      </c>
      <c r="AB17" s="135" t="e">
        <f t="shared" si="13"/>
        <v>#VALUE!</v>
      </c>
      <c r="AC17" s="135" t="str">
        <f t="shared" si="14"/>
        <v/>
      </c>
      <c r="AD17" s="136" t="str">
        <f t="shared" si="15"/>
        <v/>
      </c>
      <c r="AE17" s="136" t="str">
        <f t="shared" si="16"/>
        <v/>
      </c>
      <c r="AF17" s="136" t="str">
        <f t="shared" si="4"/>
        <v/>
      </c>
      <c r="AG17" s="136" t="str">
        <f t="shared" si="5"/>
        <v/>
      </c>
      <c r="AH17" s="137" t="str">
        <f t="shared" si="17"/>
        <v/>
      </c>
      <c r="AI17" s="135" t="e">
        <f t="shared" si="18"/>
        <v>#VALUE!</v>
      </c>
      <c r="AJ17" s="135" t="str">
        <f t="shared" si="19"/>
        <v/>
      </c>
      <c r="AK17" s="31" t="str">
        <f t="shared" si="20"/>
        <v/>
      </c>
      <c r="AL17" s="31" t="str">
        <f t="shared" si="21"/>
        <v/>
      </c>
    </row>
    <row r="18" spans="1:42" x14ac:dyDescent="0.25">
      <c r="A18" t="s">
        <v>9</v>
      </c>
      <c r="C18" t="s">
        <v>7</v>
      </c>
      <c r="D18" s="5" t="s">
        <v>249</v>
      </c>
      <c r="E18" s="4" t="s">
        <v>250</v>
      </c>
      <c r="F18" s="5" t="str">
        <f>IFERROR(VLOOKUP(E18,'Chemical data ref sheet'!$A$1:$E$163,3,FALSE),"")</f>
        <v/>
      </c>
      <c r="G18" s="5"/>
      <c r="H18" s="5">
        <v>155.97</v>
      </c>
      <c r="I18" s="5" t="str">
        <f>IFERROR(VLOOKUP(E18,'Chemical data ref sheet'!$A$1:$E$163,5,FALSE),"")</f>
        <v/>
      </c>
      <c r="J18" s="7"/>
      <c r="K18" s="7"/>
      <c r="L18" s="290">
        <v>2.44</v>
      </c>
      <c r="M18" s="7"/>
      <c r="N18" s="7"/>
      <c r="O18" s="7"/>
      <c r="P18" s="133">
        <f>SUMIFS('Product samples'!E:E, 'Product samples'!A:A, B18)</f>
        <v>0</v>
      </c>
      <c r="Q18" s="134">
        <f t="shared" si="6"/>
        <v>0</v>
      </c>
      <c r="R18" s="57">
        <f t="shared" si="0"/>
        <v>2.5050324312234404E-2</v>
      </c>
      <c r="S18" s="135">
        <f t="shared" si="1"/>
        <v>7.9995705658689342</v>
      </c>
      <c r="T18" s="132" t="str">
        <f t="shared" si="7"/>
        <v/>
      </c>
      <c r="U18" s="32">
        <f t="shared" si="8"/>
        <v>19.518952180720198</v>
      </c>
      <c r="V18" s="135" t="str">
        <f t="shared" si="9"/>
        <v/>
      </c>
      <c r="W18" s="136" t="str">
        <f t="shared" si="10"/>
        <v/>
      </c>
      <c r="X18" s="136" t="str">
        <f t="shared" si="11"/>
        <v/>
      </c>
      <c r="Y18" s="136" t="str">
        <f t="shared" si="2"/>
        <v/>
      </c>
      <c r="Z18" s="136" t="str">
        <f t="shared" si="3"/>
        <v/>
      </c>
      <c r="AA18" s="137" t="str">
        <f t="shared" si="12"/>
        <v/>
      </c>
      <c r="AB18" s="135" t="e">
        <f t="shared" si="13"/>
        <v>#VALUE!</v>
      </c>
      <c r="AC18" s="135" t="str">
        <f t="shared" si="14"/>
        <v/>
      </c>
      <c r="AD18" s="136" t="str">
        <f t="shared" si="15"/>
        <v/>
      </c>
      <c r="AE18" s="136" t="str">
        <f t="shared" si="16"/>
        <v/>
      </c>
      <c r="AF18" s="136" t="str">
        <f t="shared" si="4"/>
        <v/>
      </c>
      <c r="AG18" s="136" t="str">
        <f t="shared" si="5"/>
        <v/>
      </c>
      <c r="AH18" s="137" t="str">
        <f t="shared" si="17"/>
        <v/>
      </c>
      <c r="AI18" s="135" t="e">
        <f t="shared" si="18"/>
        <v>#VALUE!</v>
      </c>
      <c r="AJ18" s="135" t="str">
        <f t="shared" si="19"/>
        <v/>
      </c>
      <c r="AK18" s="31" t="str">
        <f t="shared" si="20"/>
        <v/>
      </c>
      <c r="AL18" s="31" t="str">
        <f t="shared" si="21"/>
        <v/>
      </c>
    </row>
    <row r="19" spans="1:42" x14ac:dyDescent="0.25">
      <c r="A19" t="s">
        <v>9</v>
      </c>
      <c r="C19" t="s">
        <v>7</v>
      </c>
      <c r="D19" s="5" t="s">
        <v>252</v>
      </c>
      <c r="E19" s="4" t="s">
        <v>251</v>
      </c>
      <c r="F19" s="5"/>
      <c r="G19" s="5"/>
      <c r="H19" s="5">
        <v>0.78449999999999998</v>
      </c>
      <c r="I19" s="5" t="str">
        <f>IFERROR(VLOOKUP(E19,'Chemical data ref sheet'!$A$1:$E$163,5,FALSE),"")</f>
        <v/>
      </c>
      <c r="J19" s="7"/>
      <c r="K19" s="7"/>
      <c r="L19" s="290">
        <v>1.75</v>
      </c>
      <c r="M19" s="7"/>
      <c r="N19" s="7"/>
      <c r="O19" s="7"/>
      <c r="P19" s="133">
        <f>SUMIFS('Product samples'!E:E, 'Product samples'!A:A, B19)</f>
        <v>0</v>
      </c>
      <c r="Q19" s="134">
        <f t="shared" ref="Q19:Q29" si="22">IFERROR((P19/1000)/H19,0)</f>
        <v>0</v>
      </c>
      <c r="R19" s="57">
        <f t="shared" si="0"/>
        <v>2.5050324312234404E-2</v>
      </c>
      <c r="S19" s="135">
        <f t="shared" si="1"/>
        <v>7.9995705658689342</v>
      </c>
      <c r="T19" s="132" t="str">
        <f t="shared" ref="T19:T29" si="23">IF(AM19&lt;&gt;"",AM19/H19,IF(AND(C19=D19,C19&lt;&gt;""),R19,IF(O19&lt;&gt;"",O19*R19,IF(J19&lt;&gt;"",J19*R19,""))))</f>
        <v/>
      </c>
      <c r="U19" s="32">
        <f t="shared" si="8"/>
        <v>13.999248490270634</v>
      </c>
      <c r="V19" s="135" t="str">
        <f t="shared" ref="V19:V29" si="24">IFERROR(IF(AND(U19&lt;&gt;"",I19&lt;&gt;""),U19/I19,IF(AND(S19&lt;&gt;"",K19&lt;&gt;""),K19*S19,"")),"")</f>
        <v/>
      </c>
      <c r="W19" s="136" t="str">
        <f t="shared" ref="W19:W29" si="25">IFERROR(IF(B19&lt;&gt;"",T19-Q19,""),"")</f>
        <v/>
      </c>
      <c r="X19" s="136" t="str">
        <f t="shared" ref="X19:X29" si="26">IFERROR(IF(B19&lt;&gt;"",U19-(P19/1000),""),"")</f>
        <v/>
      </c>
      <c r="Y19" s="136" t="str">
        <f t="shared" si="2"/>
        <v/>
      </c>
      <c r="Z19" s="136" t="str">
        <f t="shared" si="3"/>
        <v/>
      </c>
      <c r="AA19" s="137" t="str">
        <f t="shared" ref="AA19:AA29" si="27">IF(AM19&lt;&gt;"",AM19/H19,IF(AND(C19=D19,C19&lt;&gt;""),Y19,IF(M19&lt;&gt;"",M19*Y19,IF(J19&lt;&gt;"",J19*Y19,""))))</f>
        <v/>
      </c>
      <c r="AB19" s="135" t="e">
        <f t="shared" ref="AB19:AB29" si="28">IF(AND(H19&lt;&gt;"",AA19&lt;&gt;""),AA19*H19,IF(L19&lt;&gt;"",Z19*L19,""))</f>
        <v>#VALUE!</v>
      </c>
      <c r="AC19" s="135" t="str">
        <f t="shared" ref="AC19:AC29" si="29">IFERROR(IF(AND(AB19&lt;&gt;"",I19&lt;&gt;""),AB19/I19,IF(AND(Z19&lt;&gt;"",K19&lt;&gt;""),K19*Z19,"")),"")</f>
        <v/>
      </c>
      <c r="AD19" s="136" t="str">
        <f t="shared" ref="AD19:AD29" si="30">IFERROR(IF(B19&lt;&gt;"",AA19-Q19,""),"")</f>
        <v/>
      </c>
      <c r="AE19" s="136" t="str">
        <f t="shared" ref="AE19:AE29" si="31">IFERROR(IF(B19&lt;&gt;"",AB19-(P19/1000),""),"")</f>
        <v/>
      </c>
      <c r="AF19" s="136" t="str">
        <f t="shared" si="4"/>
        <v/>
      </c>
      <c r="AG19" s="136" t="str">
        <f t="shared" si="5"/>
        <v/>
      </c>
      <c r="AH19" s="137" t="str">
        <f t="shared" ref="AH19:AH29" si="32">IF(AM19&lt;&gt;"",AM19/H19,IF(AND(C19=D19,C19&lt;&gt;""),AF19,IF(N19&lt;&gt;"",N19*AF19,IF(J19&lt;&gt;"",J19*AF19,""))))</f>
        <v/>
      </c>
      <c r="AI19" s="135" t="e">
        <f t="shared" ref="AI19:AI29" si="33">IF(AND(H19&lt;&gt;"",AH19&lt;&gt;""),AH19*H19,IF(L19&lt;&gt;"",AG19*L19,""))</f>
        <v>#VALUE!</v>
      </c>
      <c r="AJ19" s="135" t="str">
        <f t="shared" ref="AJ19:AJ29" si="34">IFERROR(IF(AND(AI19&lt;&gt;"",I19&lt;&gt;""),AI19/I19,IF(AND(AG19&lt;&gt;"",K19&lt;&gt;""),K19*AG19,"")),"")</f>
        <v/>
      </c>
      <c r="AK19" s="31" t="str">
        <f t="shared" ref="AK19:AK29" si="35">IFERROR(IF(B19&lt;&gt;"",AH19-Q19,""),"")</f>
        <v/>
      </c>
      <c r="AL19" s="31" t="str">
        <f>IFERROR(IF(B19&lt;&gt;"",AI19-(Q19/1000),""),"")</f>
        <v/>
      </c>
      <c r="AP19" t="s">
        <v>926</v>
      </c>
    </row>
    <row r="20" spans="1:42" x14ac:dyDescent="0.25">
      <c r="A20" t="s">
        <v>9</v>
      </c>
      <c r="C20" t="s">
        <v>7</v>
      </c>
      <c r="D20" s="5" t="s">
        <v>252</v>
      </c>
      <c r="E20" s="4" t="s">
        <v>251</v>
      </c>
      <c r="F20" s="5"/>
      <c r="G20" s="5"/>
      <c r="H20" s="5">
        <v>0.78449999999999998</v>
      </c>
      <c r="I20" s="5" t="str">
        <f>IFERROR(VLOOKUP(E20,'Chemical data ref sheet'!$A$1:$E$163,5,FALSE),"")</f>
        <v/>
      </c>
      <c r="J20" s="7"/>
      <c r="K20" s="7"/>
      <c r="L20" s="290">
        <v>13.7</v>
      </c>
      <c r="M20" s="7"/>
      <c r="N20" s="7"/>
      <c r="O20" s="7"/>
      <c r="P20" s="133">
        <f>SUMIFS('Product samples'!E:E, 'Product samples'!A:A, B20)</f>
        <v>0</v>
      </c>
      <c r="Q20" s="134">
        <f t="shared" si="22"/>
        <v>0</v>
      </c>
      <c r="R20" s="57">
        <f t="shared" si="0"/>
        <v>2.5050324312234404E-2</v>
      </c>
      <c r="S20" s="135">
        <f t="shared" si="1"/>
        <v>7.9995705658689342</v>
      </c>
      <c r="T20" s="132" t="str">
        <f t="shared" si="23"/>
        <v/>
      </c>
      <c r="U20" s="32">
        <f>IF(AND(H20&lt;&gt;"",T20&lt;&gt;""),T20*H20,IF(L20&lt;&gt;"",S20*L20,""))</f>
        <v>109.59411675240439</v>
      </c>
      <c r="V20" s="135" t="str">
        <f t="shared" si="24"/>
        <v/>
      </c>
      <c r="W20" s="136" t="str">
        <f t="shared" si="25"/>
        <v/>
      </c>
      <c r="X20" s="136" t="str">
        <f t="shared" si="26"/>
        <v/>
      </c>
      <c r="Y20" s="136" t="str">
        <f t="shared" si="2"/>
        <v/>
      </c>
      <c r="Z20" s="136" t="str">
        <f t="shared" si="3"/>
        <v/>
      </c>
      <c r="AA20" s="137" t="str">
        <f t="shared" si="27"/>
        <v/>
      </c>
      <c r="AB20" s="135" t="e">
        <f t="shared" si="28"/>
        <v>#VALUE!</v>
      </c>
      <c r="AC20" s="135" t="str">
        <f t="shared" si="29"/>
        <v/>
      </c>
      <c r="AD20" s="136" t="str">
        <f t="shared" si="30"/>
        <v/>
      </c>
      <c r="AE20" s="136" t="str">
        <f t="shared" si="31"/>
        <v/>
      </c>
      <c r="AF20" s="136" t="str">
        <f t="shared" si="4"/>
        <v/>
      </c>
      <c r="AG20" s="136" t="str">
        <f t="shared" si="5"/>
        <v/>
      </c>
      <c r="AH20" s="137" t="str">
        <f t="shared" si="32"/>
        <v/>
      </c>
      <c r="AI20" s="135" t="e">
        <f t="shared" si="33"/>
        <v>#VALUE!</v>
      </c>
      <c r="AJ20" s="135" t="str">
        <f t="shared" si="34"/>
        <v/>
      </c>
      <c r="AK20" s="31" t="str">
        <f t="shared" si="35"/>
        <v/>
      </c>
      <c r="AL20" s="31" t="str">
        <f>IFERROR(IF(B20&lt;&gt;"",AI20-(Q20/1000),""),"")</f>
        <v/>
      </c>
      <c r="AP20" t="s">
        <v>927</v>
      </c>
    </row>
    <row r="21" spans="1:42" x14ac:dyDescent="0.25">
      <c r="A21" t="s">
        <v>9</v>
      </c>
      <c r="C21" t="s">
        <v>7</v>
      </c>
      <c r="D21" s="5" t="s">
        <v>252</v>
      </c>
      <c r="E21" s="4" t="s">
        <v>251</v>
      </c>
      <c r="F21" s="5"/>
      <c r="G21" s="5"/>
      <c r="H21" s="5">
        <v>0.78449999999999998</v>
      </c>
      <c r="I21" s="5" t="str">
        <f>IFERROR(VLOOKUP(E21,'Chemical data ref sheet'!$A$1:$E$163,5,FALSE),"")</f>
        <v/>
      </c>
      <c r="J21" s="7"/>
      <c r="K21" s="7"/>
      <c r="L21" s="290">
        <v>3</v>
      </c>
      <c r="M21" s="7"/>
      <c r="N21" s="7"/>
      <c r="O21" s="7"/>
      <c r="P21" s="133">
        <f>SUMIFS('Product samples'!E:E, 'Product samples'!A:A, B21)</f>
        <v>0</v>
      </c>
      <c r="Q21" s="134">
        <f t="shared" si="22"/>
        <v>0</v>
      </c>
      <c r="R21" s="57">
        <f t="shared" si="0"/>
        <v>2.5050324312234404E-2</v>
      </c>
      <c r="S21" s="135">
        <f t="shared" si="1"/>
        <v>7.9995705658689342</v>
      </c>
      <c r="T21" s="132" t="str">
        <f t="shared" si="23"/>
        <v/>
      </c>
      <c r="U21" s="32">
        <f t="shared" ref="U21:U26" si="36">IF(AND(H21&lt;&gt;"",T21&lt;&gt;""),T21*H21,IF(L21&lt;&gt;"",S21*L21,""))</f>
        <v>23.998711697606801</v>
      </c>
      <c r="V21" s="135" t="str">
        <f t="shared" si="24"/>
        <v/>
      </c>
      <c r="W21" s="136" t="str">
        <f t="shared" si="25"/>
        <v/>
      </c>
      <c r="X21" s="136" t="str">
        <f t="shared" si="26"/>
        <v/>
      </c>
      <c r="Y21" s="136" t="str">
        <f t="shared" si="2"/>
        <v/>
      </c>
      <c r="Z21" s="136" t="str">
        <f t="shared" si="3"/>
        <v/>
      </c>
      <c r="AA21" s="137" t="str">
        <f t="shared" si="27"/>
        <v/>
      </c>
      <c r="AB21" s="135" t="e">
        <f t="shared" si="28"/>
        <v>#VALUE!</v>
      </c>
      <c r="AC21" s="135" t="str">
        <f t="shared" si="29"/>
        <v/>
      </c>
      <c r="AD21" s="136" t="str">
        <f t="shared" si="30"/>
        <v/>
      </c>
      <c r="AE21" s="136" t="str">
        <f t="shared" si="31"/>
        <v/>
      </c>
      <c r="AF21" s="136" t="str">
        <f t="shared" si="4"/>
        <v/>
      </c>
      <c r="AG21" s="136" t="str">
        <f t="shared" si="5"/>
        <v/>
      </c>
      <c r="AH21" s="137" t="str">
        <f t="shared" si="32"/>
        <v/>
      </c>
      <c r="AI21" s="135" t="e">
        <f t="shared" si="33"/>
        <v>#VALUE!</v>
      </c>
      <c r="AJ21" s="135" t="str">
        <f t="shared" si="34"/>
        <v/>
      </c>
      <c r="AK21" s="31" t="str">
        <f t="shared" si="35"/>
        <v/>
      </c>
      <c r="AL21" s="31" t="str">
        <f>IFERROR(IF(B21&lt;&gt;"",AI21-(Q21/1000),""),"")</f>
        <v/>
      </c>
      <c r="AP21" t="s">
        <v>928</v>
      </c>
    </row>
    <row r="22" spans="1:42" x14ac:dyDescent="0.25">
      <c r="A22" t="s">
        <v>9</v>
      </c>
      <c r="C22" t="s">
        <v>7</v>
      </c>
      <c r="D22" s="5" t="s">
        <v>248</v>
      </c>
      <c r="E22" s="129"/>
      <c r="F22" s="5" t="str">
        <f>IFERROR(VLOOKUP(E22,'Chemical data ref sheet'!$A$1:$E$163,3,FALSE),"")</f>
        <v/>
      </c>
      <c r="G22" s="5"/>
      <c r="H22" s="5">
        <v>18</v>
      </c>
      <c r="I22" s="5" t="str">
        <f>IFERROR(VLOOKUP(E22,'Chemical data ref sheet'!$A$1:$E$163,5,FALSE),"")</f>
        <v/>
      </c>
      <c r="J22" s="7"/>
      <c r="K22" s="7"/>
      <c r="L22" s="290">
        <v>6.25</v>
      </c>
      <c r="M22" s="7"/>
      <c r="N22" s="7"/>
      <c r="O22" s="7"/>
      <c r="P22" s="133">
        <f>SUMIFS('Product samples'!E:E, 'Product samples'!A:A, B22)</f>
        <v>0</v>
      </c>
      <c r="Q22" s="134">
        <f t="shared" si="22"/>
        <v>0</v>
      </c>
      <c r="R22" s="57">
        <f t="shared" si="0"/>
        <v>2.5050324312234404E-2</v>
      </c>
      <c r="S22" s="135">
        <f t="shared" si="1"/>
        <v>7.9995705658689342</v>
      </c>
      <c r="T22" s="132" t="str">
        <f t="shared" si="23"/>
        <v/>
      </c>
      <c r="U22" s="32">
        <f t="shared" si="36"/>
        <v>49.997316036680836</v>
      </c>
      <c r="V22" s="135" t="str">
        <f t="shared" si="24"/>
        <v/>
      </c>
      <c r="W22" s="136" t="str">
        <f t="shared" si="25"/>
        <v/>
      </c>
      <c r="X22" s="136" t="str">
        <f t="shared" si="26"/>
        <v/>
      </c>
      <c r="Y22" s="136" t="str">
        <f t="shared" si="2"/>
        <v/>
      </c>
      <c r="Z22" s="136" t="str">
        <f t="shared" si="3"/>
        <v/>
      </c>
      <c r="AA22" s="137" t="str">
        <f t="shared" si="27"/>
        <v/>
      </c>
      <c r="AB22" s="135" t="e">
        <f t="shared" si="28"/>
        <v>#VALUE!</v>
      </c>
      <c r="AC22" s="135" t="str">
        <f t="shared" si="29"/>
        <v/>
      </c>
      <c r="AD22" s="136" t="str">
        <f t="shared" si="30"/>
        <v/>
      </c>
      <c r="AE22" s="136" t="str">
        <f t="shared" si="31"/>
        <v/>
      </c>
      <c r="AF22" s="136" t="str">
        <f t="shared" si="4"/>
        <v/>
      </c>
      <c r="AG22" s="136" t="str">
        <f t="shared" si="5"/>
        <v/>
      </c>
      <c r="AH22" s="137" t="str">
        <f t="shared" si="32"/>
        <v/>
      </c>
      <c r="AI22" s="135" t="e">
        <f t="shared" si="33"/>
        <v>#VALUE!</v>
      </c>
      <c r="AJ22" s="135" t="str">
        <f t="shared" si="34"/>
        <v/>
      </c>
      <c r="AK22" s="31" t="str">
        <f t="shared" si="35"/>
        <v/>
      </c>
      <c r="AL22" s="31" t="str">
        <f t="shared" ref="AL22:AL29" si="37">IFERROR(IF(B22&lt;&gt;"",AI22-(P22/1000),""),"")</f>
        <v/>
      </c>
      <c r="AP22" t="s">
        <v>929</v>
      </c>
    </row>
    <row r="23" spans="1:42" x14ac:dyDescent="0.25">
      <c r="A23" t="s">
        <v>9</v>
      </c>
      <c r="C23" t="s">
        <v>7</v>
      </c>
      <c r="D23" s="5" t="s">
        <v>248</v>
      </c>
      <c r="E23" s="129"/>
      <c r="F23" s="5" t="str">
        <f>IFERROR(VLOOKUP(E23,'Chemical data ref sheet'!$A$1:$E$163,3,FALSE),"")</f>
        <v/>
      </c>
      <c r="G23" s="5"/>
      <c r="H23" s="5">
        <v>18</v>
      </c>
      <c r="I23" s="5" t="str">
        <f>IFERROR(VLOOKUP(E23,'Chemical data ref sheet'!$A$1:$E$163,5,FALSE),"")</f>
        <v/>
      </c>
      <c r="J23" s="7"/>
      <c r="K23" s="7"/>
      <c r="L23" s="290">
        <v>3.75</v>
      </c>
      <c r="M23" s="7"/>
      <c r="N23" s="7"/>
      <c r="O23" s="7"/>
      <c r="P23" s="133">
        <f>SUMIFS('Product samples'!E:E, 'Product samples'!A:A, B23)</f>
        <v>0</v>
      </c>
      <c r="Q23" s="134">
        <f t="shared" si="22"/>
        <v>0</v>
      </c>
      <c r="R23" s="57">
        <f t="shared" si="0"/>
        <v>2.5050324312234404E-2</v>
      </c>
      <c r="S23" s="135">
        <f t="shared" si="1"/>
        <v>7.9995705658689342</v>
      </c>
      <c r="T23" s="132" t="str">
        <f t="shared" si="23"/>
        <v/>
      </c>
      <c r="U23" s="32">
        <f>IF(AND(H23&lt;&gt;"",T23&lt;&gt;""),T23*H23,IF(L23&lt;&gt;"",S23*L23,""))</f>
        <v>29.998389622008503</v>
      </c>
      <c r="V23" s="135" t="str">
        <f t="shared" si="24"/>
        <v/>
      </c>
      <c r="W23" s="136" t="str">
        <f t="shared" si="25"/>
        <v/>
      </c>
      <c r="X23" s="136" t="str">
        <f t="shared" si="26"/>
        <v/>
      </c>
      <c r="Y23" s="136" t="str">
        <f t="shared" si="2"/>
        <v/>
      </c>
      <c r="Z23" s="136" t="str">
        <f t="shared" si="3"/>
        <v/>
      </c>
      <c r="AA23" s="137" t="str">
        <f t="shared" si="27"/>
        <v/>
      </c>
      <c r="AB23" s="135" t="e">
        <f t="shared" si="28"/>
        <v>#VALUE!</v>
      </c>
      <c r="AC23" s="135" t="str">
        <f t="shared" si="29"/>
        <v/>
      </c>
      <c r="AD23" s="136" t="str">
        <f t="shared" si="30"/>
        <v/>
      </c>
      <c r="AE23" s="136" t="str">
        <f t="shared" si="31"/>
        <v/>
      </c>
      <c r="AF23" s="136" t="str">
        <f t="shared" si="4"/>
        <v/>
      </c>
      <c r="AG23" s="136" t="str">
        <f t="shared" si="5"/>
        <v/>
      </c>
      <c r="AH23" s="137" t="str">
        <f t="shared" si="32"/>
        <v/>
      </c>
      <c r="AI23" s="135" t="e">
        <f t="shared" si="33"/>
        <v>#VALUE!</v>
      </c>
      <c r="AJ23" s="135" t="str">
        <f t="shared" si="34"/>
        <v/>
      </c>
      <c r="AK23" s="31" t="str">
        <f t="shared" si="35"/>
        <v/>
      </c>
      <c r="AL23" s="31" t="str">
        <f t="shared" si="37"/>
        <v/>
      </c>
      <c r="AP23" t="s">
        <v>918</v>
      </c>
    </row>
    <row r="24" spans="1:42" x14ac:dyDescent="0.25">
      <c r="A24" t="s">
        <v>9</v>
      </c>
      <c r="C24" t="s">
        <v>7</v>
      </c>
      <c r="D24" s="5" t="s">
        <v>248</v>
      </c>
      <c r="E24" s="129"/>
      <c r="F24" s="5" t="str">
        <f>IFERROR(VLOOKUP(E24,'Chemical data ref sheet'!$A$1:$E$163,3,FALSE),"")</f>
        <v/>
      </c>
      <c r="G24" s="5"/>
      <c r="H24" s="5">
        <v>18</v>
      </c>
      <c r="I24" s="5" t="str">
        <f>IFERROR(VLOOKUP(E24,'Chemical data ref sheet'!$A$1:$E$163,5,FALSE),"")</f>
        <v/>
      </c>
      <c r="J24" s="7"/>
      <c r="K24" s="7"/>
      <c r="L24" s="290">
        <v>3.75</v>
      </c>
      <c r="M24" s="7"/>
      <c r="N24" s="7"/>
      <c r="O24" s="7"/>
      <c r="P24" s="133">
        <f>SUMIFS('Product samples'!E:E, 'Product samples'!A:A, B24)</f>
        <v>0</v>
      </c>
      <c r="Q24" s="134">
        <f t="shared" si="22"/>
        <v>0</v>
      </c>
      <c r="R24" s="57">
        <f t="shared" si="0"/>
        <v>2.5050324312234404E-2</v>
      </c>
      <c r="S24" s="135">
        <f t="shared" si="1"/>
        <v>7.9995705658689342</v>
      </c>
      <c r="T24" s="132" t="str">
        <f t="shared" si="23"/>
        <v/>
      </c>
      <c r="U24" s="32">
        <f>IF(AND(H24&lt;&gt;"",T24&lt;&gt;""),T24*H24,IF(L24&lt;&gt;"",S24*L24,""))</f>
        <v>29.998389622008503</v>
      </c>
      <c r="V24" s="135" t="str">
        <f t="shared" si="24"/>
        <v/>
      </c>
      <c r="W24" s="136" t="str">
        <f t="shared" si="25"/>
        <v/>
      </c>
      <c r="X24" s="136" t="str">
        <f t="shared" si="26"/>
        <v/>
      </c>
      <c r="Y24" s="136" t="str">
        <f t="shared" si="2"/>
        <v/>
      </c>
      <c r="Z24" s="136" t="str">
        <f t="shared" si="3"/>
        <v/>
      </c>
      <c r="AA24" s="137" t="str">
        <f t="shared" si="27"/>
        <v/>
      </c>
      <c r="AB24" s="135" t="e">
        <f t="shared" si="28"/>
        <v>#VALUE!</v>
      </c>
      <c r="AC24" s="135" t="str">
        <f t="shared" si="29"/>
        <v/>
      </c>
      <c r="AD24" s="136" t="str">
        <f t="shared" si="30"/>
        <v/>
      </c>
      <c r="AE24" s="136" t="str">
        <f t="shared" si="31"/>
        <v/>
      </c>
      <c r="AF24" s="136" t="str">
        <f t="shared" si="4"/>
        <v/>
      </c>
      <c r="AG24" s="136" t="str">
        <f t="shared" si="5"/>
        <v/>
      </c>
      <c r="AH24" s="137" t="str">
        <f t="shared" si="32"/>
        <v/>
      </c>
      <c r="AI24" s="135" t="e">
        <f t="shared" si="33"/>
        <v>#VALUE!</v>
      </c>
      <c r="AJ24" s="135" t="str">
        <f t="shared" si="34"/>
        <v/>
      </c>
      <c r="AK24" s="31" t="str">
        <f t="shared" si="35"/>
        <v/>
      </c>
      <c r="AL24" s="31" t="str">
        <f t="shared" si="37"/>
        <v/>
      </c>
      <c r="AP24" t="s">
        <v>919</v>
      </c>
    </row>
    <row r="25" spans="1:42" x14ac:dyDescent="0.25">
      <c r="A25" t="s">
        <v>9</v>
      </c>
      <c r="C25" t="s">
        <v>7</v>
      </c>
      <c r="D25" s="5" t="s">
        <v>248</v>
      </c>
      <c r="E25" s="129"/>
      <c r="F25" s="5" t="str">
        <f>IFERROR(VLOOKUP(E25,'Chemical data ref sheet'!$A$1:$E$163,3,FALSE),"")</f>
        <v/>
      </c>
      <c r="G25" s="5"/>
      <c r="H25" s="5">
        <v>18</v>
      </c>
      <c r="I25" s="5" t="str">
        <f>IFERROR(VLOOKUP(E25,'Chemical data ref sheet'!$A$1:$E$163,5,FALSE),"")</f>
        <v/>
      </c>
      <c r="J25" s="7"/>
      <c r="K25" s="7"/>
      <c r="L25" s="290">
        <v>3.75</v>
      </c>
      <c r="M25" s="7"/>
      <c r="N25" s="7"/>
      <c r="O25" s="7"/>
      <c r="P25" s="133">
        <f>SUMIFS('Product samples'!E:E, 'Product samples'!A:A, B25)</f>
        <v>0</v>
      </c>
      <c r="Q25" s="134">
        <f t="shared" si="22"/>
        <v>0</v>
      </c>
      <c r="R25" s="57">
        <f t="shared" si="0"/>
        <v>2.5050324312234404E-2</v>
      </c>
      <c r="S25" s="135">
        <f t="shared" si="1"/>
        <v>7.9995705658689342</v>
      </c>
      <c r="T25" s="132" t="str">
        <f t="shared" si="23"/>
        <v/>
      </c>
      <c r="U25" s="32">
        <f>IF(AND(H25&lt;&gt;"",T25&lt;&gt;""),T25*H25,IF(L25&lt;&gt;"",S25*L25,""))</f>
        <v>29.998389622008503</v>
      </c>
      <c r="V25" s="135" t="str">
        <f t="shared" si="24"/>
        <v/>
      </c>
      <c r="W25" s="136" t="str">
        <f t="shared" si="25"/>
        <v/>
      </c>
      <c r="X25" s="136" t="str">
        <f t="shared" si="26"/>
        <v/>
      </c>
      <c r="Y25" s="136" t="str">
        <f t="shared" si="2"/>
        <v/>
      </c>
      <c r="Z25" s="136" t="str">
        <f t="shared" si="3"/>
        <v/>
      </c>
      <c r="AA25" s="137" t="str">
        <f t="shared" si="27"/>
        <v/>
      </c>
      <c r="AB25" s="135" t="e">
        <f t="shared" si="28"/>
        <v>#VALUE!</v>
      </c>
      <c r="AC25" s="135" t="str">
        <f t="shared" si="29"/>
        <v/>
      </c>
      <c r="AD25" s="136" t="str">
        <f t="shared" si="30"/>
        <v/>
      </c>
      <c r="AE25" s="136" t="str">
        <f t="shared" si="31"/>
        <v/>
      </c>
      <c r="AF25" s="136" t="str">
        <f t="shared" si="4"/>
        <v/>
      </c>
      <c r="AG25" s="136" t="str">
        <f t="shared" si="5"/>
        <v/>
      </c>
      <c r="AH25" s="137" t="str">
        <f t="shared" si="32"/>
        <v/>
      </c>
      <c r="AI25" s="135" t="e">
        <f t="shared" si="33"/>
        <v>#VALUE!</v>
      </c>
      <c r="AJ25" s="135" t="str">
        <f t="shared" si="34"/>
        <v/>
      </c>
      <c r="AK25" s="31" t="str">
        <f t="shared" si="35"/>
        <v/>
      </c>
      <c r="AL25" s="31" t="str">
        <f t="shared" si="37"/>
        <v/>
      </c>
      <c r="AP25" t="s">
        <v>920</v>
      </c>
    </row>
    <row r="26" spans="1:42" x14ac:dyDescent="0.25">
      <c r="A26" t="s">
        <v>9</v>
      </c>
      <c r="C26" t="s">
        <v>7</v>
      </c>
      <c r="D26" s="5" t="str">
        <f>IFERROR(VLOOKUP(E26,'Chemical data ref sheet'!$A$1:$E$163,2,FALSE),"")</f>
        <v>Anhydrous EtOH</v>
      </c>
      <c r="E26" s="16" t="s">
        <v>84</v>
      </c>
      <c r="F26" s="5">
        <f>IFERROR(VLOOKUP(E26,'Chemical data ref sheet'!$A$1:$E$163,3,FALSE),"")</f>
        <v>0</v>
      </c>
      <c r="G26" s="5"/>
      <c r="H26" s="5">
        <f>IFERROR(VLOOKUP(E26,'Chemical data ref sheet'!$A$1:$E$163,4,FALSE),"")</f>
        <v>46.067999999999998</v>
      </c>
      <c r="I26" s="5">
        <f>IFERROR(VLOOKUP(E26,'Chemical data ref sheet'!$A$1:$E$163,5,FALSE),"")</f>
        <v>0.78900000000000003</v>
      </c>
      <c r="J26" s="7"/>
      <c r="K26" s="7"/>
      <c r="L26" s="290">
        <v>1.25</v>
      </c>
      <c r="M26" s="7"/>
      <c r="N26" s="7"/>
      <c r="O26" s="7"/>
      <c r="P26" s="133">
        <f>SUMIFS('Product samples'!E:E, 'Product samples'!A:A, B26)</f>
        <v>0</v>
      </c>
      <c r="Q26" s="134">
        <f t="shared" si="22"/>
        <v>0</v>
      </c>
      <c r="R26" s="57">
        <f t="shared" si="0"/>
        <v>2.5050324312234404E-2</v>
      </c>
      <c r="S26" s="135">
        <f t="shared" si="1"/>
        <v>7.9995705658689342</v>
      </c>
      <c r="T26" s="132" t="str">
        <f t="shared" si="23"/>
        <v/>
      </c>
      <c r="U26" s="32">
        <f t="shared" si="36"/>
        <v>9.9994632073361682</v>
      </c>
      <c r="V26" s="135">
        <f t="shared" si="24"/>
        <v>12.673590883822772</v>
      </c>
      <c r="W26" s="136" t="str">
        <f t="shared" si="25"/>
        <v/>
      </c>
      <c r="X26" s="136" t="str">
        <f t="shared" si="26"/>
        <v/>
      </c>
      <c r="Y26" s="136" t="str">
        <f t="shared" si="2"/>
        <v/>
      </c>
      <c r="Z26" s="136" t="str">
        <f t="shared" si="3"/>
        <v/>
      </c>
      <c r="AA26" s="137" t="str">
        <f t="shared" si="27"/>
        <v/>
      </c>
      <c r="AB26" s="135" t="e">
        <f t="shared" si="28"/>
        <v>#VALUE!</v>
      </c>
      <c r="AC26" s="135" t="str">
        <f t="shared" si="29"/>
        <v/>
      </c>
      <c r="AD26" s="136" t="str">
        <f t="shared" si="30"/>
        <v/>
      </c>
      <c r="AE26" s="136" t="str">
        <f t="shared" si="31"/>
        <v/>
      </c>
      <c r="AF26" s="136" t="str">
        <f t="shared" si="4"/>
        <v/>
      </c>
      <c r="AG26" s="136" t="str">
        <f t="shared" si="5"/>
        <v/>
      </c>
      <c r="AH26" s="137" t="str">
        <f t="shared" si="32"/>
        <v/>
      </c>
      <c r="AI26" s="135" t="e">
        <f t="shared" si="33"/>
        <v>#VALUE!</v>
      </c>
      <c r="AJ26" s="135" t="str">
        <f t="shared" si="34"/>
        <v/>
      </c>
      <c r="AK26" s="31" t="str">
        <f t="shared" si="35"/>
        <v/>
      </c>
      <c r="AL26" s="31" t="str">
        <f t="shared" si="37"/>
        <v/>
      </c>
      <c r="AP26" t="s">
        <v>930</v>
      </c>
    </row>
    <row r="27" spans="1:42" x14ac:dyDescent="0.25">
      <c r="A27" t="s">
        <v>9</v>
      </c>
      <c r="C27" t="s">
        <v>7</v>
      </c>
      <c r="D27" s="5" t="str">
        <f>IFERROR(VLOOKUP(E27,'Chemical data ref sheet'!$A$1:$E$163,2,FALSE),"")</f>
        <v>Anhydrous EtOH</v>
      </c>
      <c r="E27" s="16" t="s">
        <v>84</v>
      </c>
      <c r="F27" s="5">
        <f>IFERROR(VLOOKUP(E27,'Chemical data ref sheet'!$A$1:$E$163,3,FALSE),"")</f>
        <v>0</v>
      </c>
      <c r="G27" s="5"/>
      <c r="H27" s="5">
        <f>IFERROR(VLOOKUP(E27,'Chemical data ref sheet'!$A$1:$E$163,4,FALSE),"")</f>
        <v>46.067999999999998</v>
      </c>
      <c r="I27" s="5">
        <f>IFERROR(VLOOKUP(E27,'Chemical data ref sheet'!$A$1:$E$163,5,FALSE),"")</f>
        <v>0.78900000000000003</v>
      </c>
      <c r="J27" s="7"/>
      <c r="K27" s="7"/>
      <c r="L27" s="290">
        <v>4.5</v>
      </c>
      <c r="M27" s="7"/>
      <c r="N27" s="7"/>
      <c r="O27" s="7"/>
      <c r="P27" s="133">
        <f>SUMIFS('Product samples'!E:E, 'Product samples'!A:A, B27)</f>
        <v>0</v>
      </c>
      <c r="Q27" s="134">
        <f t="shared" si="22"/>
        <v>0</v>
      </c>
      <c r="R27" s="57">
        <f t="shared" si="0"/>
        <v>2.5050324312234404E-2</v>
      </c>
      <c r="S27" s="135">
        <f t="shared" si="1"/>
        <v>7.9995705658689342</v>
      </c>
      <c r="T27" s="132" t="str">
        <f t="shared" si="23"/>
        <v/>
      </c>
      <c r="U27" s="32">
        <f>IF(AND(H27&lt;&gt;"",T27&lt;&gt;""),T27*H27,IF(L27&lt;&gt;"",S27*L27,""))</f>
        <v>35.998067546410205</v>
      </c>
      <c r="V27" s="135">
        <f t="shared" si="24"/>
        <v>45.624927181761983</v>
      </c>
      <c r="W27" s="136" t="str">
        <f t="shared" si="25"/>
        <v/>
      </c>
      <c r="X27" s="136" t="str">
        <f t="shared" si="26"/>
        <v/>
      </c>
      <c r="Y27" s="136" t="str">
        <f t="shared" si="2"/>
        <v/>
      </c>
      <c r="Z27" s="136" t="str">
        <f t="shared" si="3"/>
        <v/>
      </c>
      <c r="AA27" s="137" t="str">
        <f t="shared" si="27"/>
        <v/>
      </c>
      <c r="AB27" s="135" t="e">
        <f t="shared" si="28"/>
        <v>#VALUE!</v>
      </c>
      <c r="AC27" s="135" t="str">
        <f t="shared" si="29"/>
        <v/>
      </c>
      <c r="AD27" s="136" t="str">
        <f t="shared" si="30"/>
        <v/>
      </c>
      <c r="AE27" s="136" t="str">
        <f t="shared" si="31"/>
        <v/>
      </c>
      <c r="AF27" s="136" t="str">
        <f t="shared" si="4"/>
        <v/>
      </c>
      <c r="AG27" s="136" t="str">
        <f t="shared" si="5"/>
        <v/>
      </c>
      <c r="AH27" s="137" t="str">
        <f t="shared" si="32"/>
        <v/>
      </c>
      <c r="AI27" s="135" t="e">
        <f t="shared" si="33"/>
        <v>#VALUE!</v>
      </c>
      <c r="AJ27" s="135" t="str">
        <f t="shared" si="34"/>
        <v/>
      </c>
      <c r="AK27" s="31" t="str">
        <f t="shared" si="35"/>
        <v/>
      </c>
      <c r="AL27" s="31" t="str">
        <f t="shared" si="37"/>
        <v/>
      </c>
      <c r="AP27" t="s">
        <v>931</v>
      </c>
    </row>
    <row r="28" spans="1:42" x14ac:dyDescent="0.25">
      <c r="A28" t="s">
        <v>9</v>
      </c>
      <c r="C28" t="s">
        <v>7</v>
      </c>
      <c r="D28" s="5" t="str">
        <f>IFERROR(VLOOKUP(E28,'Chemical data ref sheet'!$A$1:$E$163,2,FALSE),"")</f>
        <v>Anhydrous EtOH</v>
      </c>
      <c r="E28" s="16" t="s">
        <v>84</v>
      </c>
      <c r="F28" s="5">
        <f>IFERROR(VLOOKUP(E28,'Chemical data ref sheet'!$A$1:$E$163,3,FALSE),"")</f>
        <v>0</v>
      </c>
      <c r="G28" s="5"/>
      <c r="H28" s="5">
        <f>IFERROR(VLOOKUP(E28,'Chemical data ref sheet'!$A$1:$E$163,4,FALSE),"")</f>
        <v>46.067999999999998</v>
      </c>
      <c r="I28" s="5">
        <f>IFERROR(VLOOKUP(E28,'Chemical data ref sheet'!$A$1:$E$163,5,FALSE),"")</f>
        <v>0.78900000000000003</v>
      </c>
      <c r="J28" s="7"/>
      <c r="K28" s="7"/>
      <c r="L28" s="290">
        <v>1.25</v>
      </c>
      <c r="M28" s="7"/>
      <c r="N28" s="7"/>
      <c r="O28" s="7"/>
      <c r="P28" s="133">
        <f>SUMIFS('Product samples'!E:E, 'Product samples'!A:A, B28)</f>
        <v>0</v>
      </c>
      <c r="Q28" s="134">
        <f t="shared" si="22"/>
        <v>0</v>
      </c>
      <c r="R28" s="57">
        <f t="shared" si="0"/>
        <v>2.5050324312234404E-2</v>
      </c>
      <c r="S28" s="135">
        <f t="shared" si="1"/>
        <v>7.9995705658689342</v>
      </c>
      <c r="T28" s="132" t="str">
        <f t="shared" si="23"/>
        <v/>
      </c>
      <c r="U28" s="32">
        <f>IF(AND(H28&lt;&gt;"",T28&lt;&gt;""),T28*H28,IF(L28&lt;&gt;"",S28*L28,""))</f>
        <v>9.9994632073361682</v>
      </c>
      <c r="V28" s="135">
        <f t="shared" si="24"/>
        <v>12.673590883822772</v>
      </c>
      <c r="W28" s="136" t="str">
        <f t="shared" si="25"/>
        <v/>
      </c>
      <c r="X28" s="136" t="str">
        <f t="shared" si="26"/>
        <v/>
      </c>
      <c r="Y28" s="136" t="str">
        <f t="shared" si="2"/>
        <v/>
      </c>
      <c r="Z28" s="136" t="str">
        <f t="shared" si="3"/>
        <v/>
      </c>
      <c r="AA28" s="137" t="str">
        <f t="shared" si="27"/>
        <v/>
      </c>
      <c r="AB28" s="135" t="e">
        <f t="shared" si="28"/>
        <v>#VALUE!</v>
      </c>
      <c r="AC28" s="135" t="str">
        <f t="shared" si="29"/>
        <v/>
      </c>
      <c r="AD28" s="136" t="str">
        <f t="shared" si="30"/>
        <v/>
      </c>
      <c r="AE28" s="136" t="str">
        <f t="shared" si="31"/>
        <v/>
      </c>
      <c r="AF28" s="136" t="str">
        <f t="shared" si="4"/>
        <v/>
      </c>
      <c r="AG28" s="136" t="str">
        <f t="shared" si="5"/>
        <v/>
      </c>
      <c r="AH28" s="137" t="str">
        <f t="shared" si="32"/>
        <v/>
      </c>
      <c r="AI28" s="135" t="e">
        <f t="shared" si="33"/>
        <v>#VALUE!</v>
      </c>
      <c r="AJ28" s="135" t="str">
        <f t="shared" si="34"/>
        <v/>
      </c>
      <c r="AK28" s="31" t="str">
        <f t="shared" si="35"/>
        <v/>
      </c>
      <c r="AL28" s="31" t="str">
        <f t="shared" si="37"/>
        <v/>
      </c>
      <c r="AP28" t="s">
        <v>918</v>
      </c>
    </row>
    <row r="29" spans="1:42" x14ac:dyDescent="0.25">
      <c r="A29" t="s">
        <v>9</v>
      </c>
      <c r="C29" t="s">
        <v>7</v>
      </c>
      <c r="D29" s="5" t="str">
        <f>IFERROR(VLOOKUP(E29,'Chemical data ref sheet'!$A$1:$E$163,2,FALSE),"")</f>
        <v>Anhydrous EtOH</v>
      </c>
      <c r="E29" s="16" t="s">
        <v>84</v>
      </c>
      <c r="F29" s="5">
        <f>IFERROR(VLOOKUP(E29,'Chemical data ref sheet'!$A$1:$E$163,3,FALSE),"")</f>
        <v>0</v>
      </c>
      <c r="G29" s="5"/>
      <c r="H29" s="5">
        <f>IFERROR(VLOOKUP(E29,'Chemical data ref sheet'!$A$1:$E$163,4,FALSE),"")</f>
        <v>46.067999999999998</v>
      </c>
      <c r="I29" s="5">
        <f>IFERROR(VLOOKUP(E29,'Chemical data ref sheet'!$A$1:$E$163,5,FALSE),"")</f>
        <v>0.78900000000000003</v>
      </c>
      <c r="J29" s="7"/>
      <c r="K29" s="7"/>
      <c r="L29" s="290">
        <v>1.25</v>
      </c>
      <c r="M29" s="7"/>
      <c r="N29" s="7"/>
      <c r="O29" s="7"/>
      <c r="P29" s="133">
        <f>SUMIFS('Product samples'!E:E, 'Product samples'!A:A, B29)</f>
        <v>0</v>
      </c>
      <c r="Q29" s="134">
        <f t="shared" si="22"/>
        <v>0</v>
      </c>
      <c r="R29" s="57">
        <f t="shared" si="0"/>
        <v>2.5050324312234404E-2</v>
      </c>
      <c r="S29" s="135">
        <f t="shared" si="1"/>
        <v>7.9995705658689342</v>
      </c>
      <c r="T29" s="132" t="str">
        <f t="shared" si="23"/>
        <v/>
      </c>
      <c r="U29" s="32">
        <f>IF(AND(H29&lt;&gt;"",T29&lt;&gt;""),T29*H29,IF(L29&lt;&gt;"",S29*L29,""))</f>
        <v>9.9994632073361682</v>
      </c>
      <c r="V29" s="135">
        <f t="shared" si="24"/>
        <v>12.673590883822772</v>
      </c>
      <c r="W29" s="136" t="str">
        <f t="shared" si="25"/>
        <v/>
      </c>
      <c r="X29" s="136" t="str">
        <f t="shared" si="26"/>
        <v/>
      </c>
      <c r="Y29" s="136" t="str">
        <f t="shared" si="2"/>
        <v/>
      </c>
      <c r="Z29" s="136" t="str">
        <f t="shared" si="3"/>
        <v/>
      </c>
      <c r="AA29" s="137" t="str">
        <f t="shared" si="27"/>
        <v/>
      </c>
      <c r="AB29" s="135" t="e">
        <f t="shared" si="28"/>
        <v>#VALUE!</v>
      </c>
      <c r="AC29" s="135" t="str">
        <f t="shared" si="29"/>
        <v/>
      </c>
      <c r="AD29" s="136" t="str">
        <f t="shared" si="30"/>
        <v/>
      </c>
      <c r="AE29" s="136" t="str">
        <f t="shared" si="31"/>
        <v/>
      </c>
      <c r="AF29" s="136" t="str">
        <f t="shared" si="4"/>
        <v/>
      </c>
      <c r="AG29" s="136" t="str">
        <f t="shared" si="5"/>
        <v/>
      </c>
      <c r="AH29" s="137" t="str">
        <f t="shared" si="32"/>
        <v/>
      </c>
      <c r="AI29" s="135" t="e">
        <f t="shared" si="33"/>
        <v>#VALUE!</v>
      </c>
      <c r="AJ29" s="135" t="str">
        <f t="shared" si="34"/>
        <v/>
      </c>
      <c r="AK29" s="31" t="str">
        <f t="shared" si="35"/>
        <v/>
      </c>
      <c r="AL29" s="31" t="str">
        <f t="shared" si="37"/>
        <v/>
      </c>
      <c r="AP29" t="s">
        <v>919</v>
      </c>
    </row>
    <row r="30" spans="1:42" x14ac:dyDescent="0.25">
      <c r="A30" t="s">
        <v>9</v>
      </c>
      <c r="B30" t="s">
        <v>12</v>
      </c>
      <c r="C30" t="s">
        <v>7</v>
      </c>
      <c r="D30" s="5" t="s">
        <v>12</v>
      </c>
      <c r="E30" s="16"/>
      <c r="F30" s="5" t="str">
        <f>IFERROR(VLOOKUP(E30,'Chemical data ref sheet'!$A$1:$E$163,3,FALSE),"")</f>
        <v/>
      </c>
      <c r="G30" s="5"/>
      <c r="H30" s="5">
        <v>347.39</v>
      </c>
      <c r="I30" s="5">
        <v>0.65</v>
      </c>
      <c r="J30" s="7">
        <v>1</v>
      </c>
      <c r="K30" s="7"/>
      <c r="L30" s="290"/>
      <c r="M30" s="7"/>
      <c r="N30" s="7"/>
      <c r="O30" s="7">
        <v>0.5</v>
      </c>
      <c r="P30" s="133">
        <f>SUMIFS('Product samples'!E:E, 'Product samples'!A:A, B30)</f>
        <v>0</v>
      </c>
      <c r="Q30" s="134">
        <f t="shared" si="6"/>
        <v>0</v>
      </c>
      <c r="R30" s="57">
        <f t="shared" si="0"/>
        <v>2.5050324312234404E-2</v>
      </c>
      <c r="S30" s="135">
        <f t="shared" si="1"/>
        <v>7.9995705658689342</v>
      </c>
      <c r="T30" s="132">
        <f t="shared" si="7"/>
        <v>1.2525162156117202E-2</v>
      </c>
      <c r="U30" s="32">
        <f t="shared" si="8"/>
        <v>4.3511160814135543</v>
      </c>
      <c r="V30" s="135">
        <f t="shared" si="9"/>
        <v>6.6940247406362374</v>
      </c>
      <c r="W30" s="136">
        <f t="shared" si="10"/>
        <v>1.2525162156117202E-2</v>
      </c>
      <c r="X30" s="136">
        <f t="shared" si="11"/>
        <v>4.3511160814135543</v>
      </c>
      <c r="Y30" s="136" t="str">
        <f t="shared" si="2"/>
        <v/>
      </c>
      <c r="Z30" s="136" t="str">
        <f t="shared" si="3"/>
        <v/>
      </c>
      <c r="AA30" s="137" t="e">
        <f t="shared" si="12"/>
        <v>#VALUE!</v>
      </c>
      <c r="AB30" s="135" t="e">
        <f t="shared" si="13"/>
        <v>#VALUE!</v>
      </c>
      <c r="AC30" s="135" t="str">
        <f t="shared" si="14"/>
        <v/>
      </c>
      <c r="AD30" s="136" t="str">
        <f t="shared" si="15"/>
        <v/>
      </c>
      <c r="AE30" s="136" t="str">
        <f t="shared" si="16"/>
        <v/>
      </c>
      <c r="AF30" s="136" t="str">
        <f t="shared" si="4"/>
        <v/>
      </c>
      <c r="AG30" s="136" t="str">
        <f t="shared" si="5"/>
        <v/>
      </c>
      <c r="AH30" s="137" t="e">
        <f t="shared" si="17"/>
        <v>#VALUE!</v>
      </c>
      <c r="AI30" s="135" t="e">
        <f t="shared" si="18"/>
        <v>#VALUE!</v>
      </c>
      <c r="AJ30" s="135" t="str">
        <f t="shared" si="19"/>
        <v/>
      </c>
      <c r="AK30" s="31" t="str">
        <f t="shared" si="20"/>
        <v/>
      </c>
      <c r="AL30" s="31" t="str">
        <f t="shared" si="21"/>
        <v/>
      </c>
    </row>
    <row r="31" spans="1:42" x14ac:dyDescent="0.25">
      <c r="D31" s="5" t="str">
        <f>IFERROR(VLOOKUP(E31,'Chemical data ref sheet'!$A$1:$E$163,2,FALSE),"")</f>
        <v/>
      </c>
      <c r="E31" s="16"/>
      <c r="F31" s="5" t="str">
        <f>IFERROR(VLOOKUP(E31,'Chemical data ref sheet'!$A$1:$E$163,3,FALSE),"")</f>
        <v/>
      </c>
      <c r="G31" s="5"/>
      <c r="H31" s="5" t="str">
        <f>IFERROR(VLOOKUP(E31,'Chemical data ref sheet'!$A$1:$E$163,4,FALSE),"")</f>
        <v/>
      </c>
      <c r="I31" s="5" t="str">
        <f>IFERROR(VLOOKUP(E31,'Chemical data ref sheet'!$A$1:$E$163,5,FALSE),"")</f>
        <v/>
      </c>
      <c r="J31" s="7"/>
      <c r="K31" s="7"/>
      <c r="L31" s="290"/>
      <c r="M31" s="7"/>
      <c r="N31" s="7"/>
      <c r="O31" s="7"/>
      <c r="P31" s="133">
        <f>SUMIFS('Product samples'!E:E, 'Product samples'!A:A, B31)</f>
        <v>0</v>
      </c>
      <c r="Q31" s="134">
        <f t="shared" si="6"/>
        <v>0</v>
      </c>
      <c r="R31" s="57" t="str">
        <f t="shared" si="0"/>
        <v/>
      </c>
      <c r="S31" s="135" t="str">
        <f t="shared" si="1"/>
        <v/>
      </c>
      <c r="T31" s="132" t="str">
        <f t="shared" si="7"/>
        <v/>
      </c>
      <c r="U31" s="32" t="str">
        <f t="shared" si="8"/>
        <v/>
      </c>
      <c r="V31" s="135" t="str">
        <f t="shared" si="9"/>
        <v/>
      </c>
      <c r="W31" s="136" t="str">
        <f t="shared" si="10"/>
        <v/>
      </c>
      <c r="X31" s="136" t="str">
        <f t="shared" si="11"/>
        <v/>
      </c>
      <c r="Y31" s="136" t="str">
        <f t="shared" si="2"/>
        <v/>
      </c>
      <c r="Z31" s="136" t="str">
        <f t="shared" si="3"/>
        <v/>
      </c>
      <c r="AA31" s="137" t="str">
        <f t="shared" si="12"/>
        <v/>
      </c>
      <c r="AB31" s="135" t="str">
        <f t="shared" si="13"/>
        <v/>
      </c>
      <c r="AC31" s="135" t="str">
        <f t="shared" si="14"/>
        <v/>
      </c>
      <c r="AD31" s="136" t="str">
        <f t="shared" si="15"/>
        <v/>
      </c>
      <c r="AE31" s="136" t="str">
        <f t="shared" si="16"/>
        <v/>
      </c>
      <c r="AF31" s="136" t="str">
        <f t="shared" si="4"/>
        <v/>
      </c>
      <c r="AG31" s="136" t="str">
        <f t="shared" si="5"/>
        <v/>
      </c>
      <c r="AH31" s="137" t="str">
        <f t="shared" si="17"/>
        <v/>
      </c>
      <c r="AI31" s="135" t="str">
        <f t="shared" si="18"/>
        <v/>
      </c>
      <c r="AJ31" s="135" t="str">
        <f t="shared" si="19"/>
        <v/>
      </c>
      <c r="AK31" s="31" t="str">
        <f t="shared" si="20"/>
        <v/>
      </c>
      <c r="AL31" s="31" t="str">
        <f t="shared" si="21"/>
        <v/>
      </c>
    </row>
    <row r="32" spans="1:42" x14ac:dyDescent="0.25">
      <c r="A32" t="s">
        <v>10</v>
      </c>
      <c r="C32" t="s">
        <v>12</v>
      </c>
      <c r="D32" s="5" t="s">
        <v>133</v>
      </c>
      <c r="E32" s="129" t="s">
        <v>134</v>
      </c>
      <c r="F32" s="5">
        <f>IFERROR(VLOOKUP(E32,'Chemical data ref sheet'!$A$1:$E$163,3,FALSE),"")</f>
        <v>0</v>
      </c>
      <c r="G32" s="5"/>
      <c r="H32" s="5">
        <f>IFERROR(VLOOKUP(E32,'Chemical data ref sheet'!$A$1:$E$163,4,FALSE),"")</f>
        <v>36.46</v>
      </c>
      <c r="I32" s="5">
        <f>IFERROR(VLOOKUP(E32,'Chemical data ref sheet'!$A$1:$E$163,5,FALSE),"")</f>
        <v>1.2</v>
      </c>
      <c r="J32" s="7"/>
      <c r="K32" s="7"/>
      <c r="L32" s="290">
        <v>6</v>
      </c>
      <c r="M32" s="7"/>
      <c r="N32" s="7"/>
      <c r="O32" s="7"/>
      <c r="P32" s="133">
        <f>SUMIFS('Product samples'!E:E, 'Product samples'!A:A, B32)</f>
        <v>0</v>
      </c>
      <c r="Q32" s="134">
        <f t="shared" si="6"/>
        <v>0</v>
      </c>
      <c r="R32" s="57">
        <f t="shared" si="0"/>
        <v>1.2525162156117202E-2</v>
      </c>
      <c r="S32" s="135">
        <f t="shared" si="1"/>
        <v>4.3511160814135543</v>
      </c>
      <c r="T32" s="132" t="str">
        <f t="shared" si="7"/>
        <v/>
      </c>
      <c r="U32" s="32">
        <f t="shared" si="8"/>
        <v>26.106696488481326</v>
      </c>
      <c r="V32" s="135">
        <f t="shared" si="9"/>
        <v>21.755580407067772</v>
      </c>
      <c r="W32" s="136" t="str">
        <f t="shared" si="10"/>
        <v/>
      </c>
      <c r="X32" s="136" t="str">
        <f t="shared" si="11"/>
        <v/>
      </c>
      <c r="Y32" s="136" t="str">
        <f t="shared" si="2"/>
        <v/>
      </c>
      <c r="Z32" s="136" t="str">
        <f t="shared" si="3"/>
        <v/>
      </c>
      <c r="AA32" s="137" t="str">
        <f t="shared" si="12"/>
        <v/>
      </c>
      <c r="AB32" s="135" t="e">
        <f t="shared" si="13"/>
        <v>#VALUE!</v>
      </c>
      <c r="AC32" s="135" t="str">
        <f t="shared" si="14"/>
        <v/>
      </c>
      <c r="AD32" s="136" t="str">
        <f t="shared" si="15"/>
        <v/>
      </c>
      <c r="AE32" s="136" t="str">
        <f t="shared" si="16"/>
        <v/>
      </c>
      <c r="AF32" s="136" t="str">
        <f t="shared" si="4"/>
        <v/>
      </c>
      <c r="AG32" s="136" t="str">
        <f t="shared" si="5"/>
        <v/>
      </c>
      <c r="AH32" s="137" t="str">
        <f t="shared" si="17"/>
        <v/>
      </c>
      <c r="AI32" s="135" t="e">
        <f t="shared" si="18"/>
        <v>#VALUE!</v>
      </c>
      <c r="AJ32" s="135" t="str">
        <f t="shared" si="19"/>
        <v/>
      </c>
      <c r="AK32" s="31" t="str">
        <f t="shared" si="20"/>
        <v/>
      </c>
      <c r="AL32" s="31" t="str">
        <f t="shared" si="21"/>
        <v/>
      </c>
    </row>
    <row r="33" spans="1:42" x14ac:dyDescent="0.25">
      <c r="A33" t="s">
        <v>10</v>
      </c>
      <c r="C33" t="s">
        <v>12</v>
      </c>
      <c r="D33" s="5" t="s">
        <v>74</v>
      </c>
      <c r="E33" s="129" t="s">
        <v>75</v>
      </c>
      <c r="F33" s="5"/>
      <c r="G33" s="5"/>
      <c r="H33" s="5">
        <f>IFERROR(VLOOKUP(E33,'Chemical data ref sheet'!$A$1:$E$163,4,FALSE),"")</f>
        <v>32.042000000000002</v>
      </c>
      <c r="I33" s="5">
        <f>IFERROR(VLOOKUP(E33,'Chemical data ref sheet'!$A$1:$E$163,5,FALSE),"")</f>
        <v>0.79200000000000004</v>
      </c>
      <c r="J33" s="7"/>
      <c r="K33" s="7"/>
      <c r="L33" s="290">
        <v>1.59</v>
      </c>
      <c r="M33" s="7"/>
      <c r="N33" s="7"/>
      <c r="O33" s="7"/>
      <c r="P33" s="133">
        <f>SUMIFS('Product samples'!E:E, 'Product samples'!A:A, B33)</f>
        <v>0</v>
      </c>
      <c r="Q33" s="134">
        <f t="shared" ref="Q33:Q39" si="38">IFERROR((P33/1000)/H33,0)</f>
        <v>0</v>
      </c>
      <c r="R33" s="57">
        <f t="shared" si="0"/>
        <v>1.2525162156117202E-2</v>
      </c>
      <c r="S33" s="135">
        <f t="shared" si="1"/>
        <v>4.3511160814135543</v>
      </c>
      <c r="T33" s="132" t="str">
        <f t="shared" ref="T33:T39" si="39">IF(AM33&lt;&gt;"",AM33/H33,IF(AND(C33=D33,C33&lt;&gt;""),R33,IF(O33&lt;&gt;"",O33*R33,IF(J33&lt;&gt;"",J33*R33,""))))</f>
        <v/>
      </c>
      <c r="U33" s="32">
        <f t="shared" ref="U33:U39" si="40">IF(AND(H33&lt;&gt;"",T33&lt;&gt;""),T33*H33,IF(L33&lt;&gt;"",S33*L33,""))</f>
        <v>6.9182745694475516</v>
      </c>
      <c r="V33" s="135">
        <f t="shared" ref="V33:V39" si="41">IFERROR(IF(AND(U33&lt;&gt;"",I33&lt;&gt;""),U33/I33,IF(AND(S33&lt;&gt;"",K33&lt;&gt;""),K33*S33,"")),"")</f>
        <v>8.735195163443878</v>
      </c>
      <c r="W33" s="136" t="str">
        <f t="shared" ref="W33:W39" si="42">IFERROR(IF(B33&lt;&gt;"",T33-Q33,""),"")</f>
        <v/>
      </c>
      <c r="X33" s="136" t="str">
        <f t="shared" ref="X33:X39" si="43">IFERROR(IF(B33&lt;&gt;"",U33-(P33/1000),""),"")</f>
        <v/>
      </c>
      <c r="Y33" s="136" t="str">
        <f t="shared" si="2"/>
        <v/>
      </c>
      <c r="Z33" s="136" t="str">
        <f t="shared" si="3"/>
        <v/>
      </c>
      <c r="AA33" s="137" t="str">
        <f t="shared" ref="AA33:AA39" si="44">IF(AM33&lt;&gt;"",AM33/H33,IF(AND(C33=D33,C33&lt;&gt;""),Y33,IF(M33&lt;&gt;"",M33*Y33,IF(J33&lt;&gt;"",J33*Y33,""))))</f>
        <v/>
      </c>
      <c r="AB33" s="135" t="e">
        <f t="shared" ref="AB33:AB39" si="45">IF(AND(H33&lt;&gt;"",AA33&lt;&gt;""),AA33*H33,IF(L33&lt;&gt;"",Z33*L33,""))</f>
        <v>#VALUE!</v>
      </c>
      <c r="AC33" s="135" t="str">
        <f t="shared" ref="AC33:AC39" si="46">IFERROR(IF(AND(AB33&lt;&gt;"",I33&lt;&gt;""),AB33/I33,IF(AND(Z33&lt;&gt;"",K33&lt;&gt;""),K33*Z33,"")),"")</f>
        <v/>
      </c>
      <c r="AD33" s="136" t="str">
        <f t="shared" ref="AD33:AD39" si="47">IFERROR(IF(B33&lt;&gt;"",AA33-Q33,""),"")</f>
        <v/>
      </c>
      <c r="AE33" s="136" t="str">
        <f t="shared" ref="AE33:AE39" si="48">IFERROR(IF(B33&lt;&gt;"",AB33-(P33/1000),""),"")</f>
        <v/>
      </c>
      <c r="AF33" s="136" t="str">
        <f t="shared" si="4"/>
        <v/>
      </c>
      <c r="AG33" s="136" t="str">
        <f t="shared" si="5"/>
        <v/>
      </c>
      <c r="AH33" s="137" t="str">
        <f t="shared" ref="AH33:AH39" si="49">IF(AM33&lt;&gt;"",AM33/H33,IF(AND(C33=D33,C33&lt;&gt;""),AF33,IF(N33&lt;&gt;"",N33*AF33,IF(J33&lt;&gt;"",J33*AF33,""))))</f>
        <v/>
      </c>
      <c r="AI33" s="135" t="e">
        <f t="shared" ref="AI33:AI39" si="50">IF(AND(H33&lt;&gt;"",AH33&lt;&gt;""),AH33*H33,IF(L33&lt;&gt;"",AG33*L33,""))</f>
        <v>#VALUE!</v>
      </c>
      <c r="AJ33" s="135" t="str">
        <f t="shared" ref="AJ33:AJ39" si="51">IFERROR(IF(AND(AI33&lt;&gt;"",I33&lt;&gt;""),AI33/I33,IF(AND(AG33&lt;&gt;"",K33&lt;&gt;""),K33*AG33,"")),"")</f>
        <v/>
      </c>
      <c r="AK33" s="31" t="str">
        <f t="shared" ref="AK33:AK39" si="52">IFERROR(IF(B33&lt;&gt;"",AH33-Q33,""),"")</f>
        <v/>
      </c>
      <c r="AL33" s="31" t="str">
        <f t="shared" ref="AL33:AL39" si="53">IFERROR(IF(B33&lt;&gt;"",AI33-(Q33/1000),""),"")</f>
        <v/>
      </c>
      <c r="AP33" t="s">
        <v>932</v>
      </c>
    </row>
    <row r="34" spans="1:42" x14ac:dyDescent="0.25">
      <c r="A34" t="s">
        <v>10</v>
      </c>
      <c r="C34" t="s">
        <v>12</v>
      </c>
      <c r="D34" s="5" t="s">
        <v>248</v>
      </c>
      <c r="E34" s="16"/>
      <c r="F34" s="5" t="str">
        <f>IFERROR(VLOOKUP(E34,'Chemical data ref sheet'!$A$1:$E$163,3,FALSE),"")</f>
        <v/>
      </c>
      <c r="G34" s="5"/>
      <c r="H34" s="5" t="str">
        <f>IFERROR(VLOOKUP(E34,'Chemical data ref sheet'!$A$1:$E$163,4,FALSE),"")</f>
        <v/>
      </c>
      <c r="I34" s="5" t="str">
        <f>IFERROR(VLOOKUP(E34,'Chemical data ref sheet'!$A$1:$E$163,5,FALSE),"")</f>
        <v/>
      </c>
      <c r="J34" s="7"/>
      <c r="K34" s="7"/>
      <c r="L34" s="290">
        <v>5.55</v>
      </c>
      <c r="M34" s="7"/>
      <c r="N34" s="7"/>
      <c r="O34" s="7"/>
      <c r="P34" s="133">
        <f>SUMIFS('Product samples'!E:E, 'Product samples'!A:A, B34)</f>
        <v>0</v>
      </c>
      <c r="Q34" s="134">
        <f t="shared" si="38"/>
        <v>0</v>
      </c>
      <c r="R34" s="57">
        <f t="shared" si="0"/>
        <v>1.2525162156117202E-2</v>
      </c>
      <c r="S34" s="135">
        <f t="shared" si="1"/>
        <v>4.3511160814135543</v>
      </c>
      <c r="T34" s="132" t="str">
        <f t="shared" si="39"/>
        <v/>
      </c>
      <c r="U34" s="32">
        <f t="shared" si="40"/>
        <v>24.148694251845225</v>
      </c>
      <c r="V34" s="135" t="str">
        <f t="shared" si="41"/>
        <v/>
      </c>
      <c r="W34" s="136" t="str">
        <f t="shared" si="42"/>
        <v/>
      </c>
      <c r="X34" s="136" t="str">
        <f t="shared" si="43"/>
        <v/>
      </c>
      <c r="Y34" s="136" t="str">
        <f t="shared" si="2"/>
        <v/>
      </c>
      <c r="Z34" s="136" t="str">
        <f t="shared" si="3"/>
        <v/>
      </c>
      <c r="AA34" s="137" t="str">
        <f t="shared" si="44"/>
        <v/>
      </c>
      <c r="AB34" s="135" t="e">
        <f t="shared" si="45"/>
        <v>#VALUE!</v>
      </c>
      <c r="AC34" s="135" t="str">
        <f t="shared" si="46"/>
        <v/>
      </c>
      <c r="AD34" s="136" t="str">
        <f t="shared" si="47"/>
        <v/>
      </c>
      <c r="AE34" s="136" t="str">
        <f t="shared" si="48"/>
        <v/>
      </c>
      <c r="AF34" s="136" t="str">
        <f t="shared" si="4"/>
        <v/>
      </c>
      <c r="AG34" s="136" t="str">
        <f t="shared" si="5"/>
        <v/>
      </c>
      <c r="AH34" s="137" t="str">
        <f t="shared" si="49"/>
        <v/>
      </c>
      <c r="AI34" s="135" t="e">
        <f t="shared" si="50"/>
        <v>#VALUE!</v>
      </c>
      <c r="AJ34" s="135" t="str">
        <f t="shared" si="51"/>
        <v/>
      </c>
      <c r="AK34" s="31" t="str">
        <f t="shared" si="52"/>
        <v/>
      </c>
      <c r="AL34" s="31" t="str">
        <f t="shared" si="53"/>
        <v/>
      </c>
      <c r="AP34" t="s">
        <v>933</v>
      </c>
    </row>
    <row r="35" spans="1:42" x14ac:dyDescent="0.25">
      <c r="A35" t="s">
        <v>10</v>
      </c>
      <c r="C35" t="s">
        <v>12</v>
      </c>
      <c r="D35" s="5" t="str">
        <f>IFERROR(VLOOKUP(E35,'Chemical data ref sheet'!$A$1:$E$163,2,FALSE),"")</f>
        <v>Sodium hydroxide</v>
      </c>
      <c r="E35" s="293" t="s">
        <v>126</v>
      </c>
      <c r="F35" s="5"/>
      <c r="G35" s="5"/>
      <c r="H35" s="5">
        <f>IFERROR(VLOOKUP(E35,'Chemical data ref sheet'!$A$1:$E$163,4,FALSE),"")</f>
        <v>39.997</v>
      </c>
      <c r="I35" s="5">
        <f>IFERROR(VLOOKUP(E35,'Chemical data ref sheet'!$A$1:$E$163,5,FALSE),"")</f>
        <v>0</v>
      </c>
      <c r="J35" s="7"/>
      <c r="K35" s="7"/>
      <c r="L35" s="290">
        <v>1.75</v>
      </c>
      <c r="M35" s="7"/>
      <c r="N35" s="7"/>
      <c r="O35" s="7"/>
      <c r="P35" s="133">
        <f>SUMIFS('Product samples'!E:E, 'Product samples'!A:A, B35)</f>
        <v>0</v>
      </c>
      <c r="Q35" s="134">
        <f t="shared" si="38"/>
        <v>0</v>
      </c>
      <c r="R35" s="57">
        <f t="shared" si="0"/>
        <v>1.2525162156117202E-2</v>
      </c>
      <c r="S35" s="135">
        <f t="shared" si="1"/>
        <v>4.3511160814135543</v>
      </c>
      <c r="T35" s="132" t="str">
        <f t="shared" si="39"/>
        <v/>
      </c>
      <c r="U35" s="32">
        <f t="shared" si="40"/>
        <v>7.6144531424737201</v>
      </c>
      <c r="V35" s="135" t="str">
        <f t="shared" si="41"/>
        <v/>
      </c>
      <c r="W35" s="136" t="str">
        <f t="shared" si="42"/>
        <v/>
      </c>
      <c r="X35" s="136" t="str">
        <f t="shared" si="43"/>
        <v/>
      </c>
      <c r="Y35" s="136" t="str">
        <f t="shared" si="2"/>
        <v/>
      </c>
      <c r="Z35" s="136" t="str">
        <f t="shared" si="3"/>
        <v/>
      </c>
      <c r="AA35" s="137" t="str">
        <f t="shared" si="44"/>
        <v/>
      </c>
      <c r="AB35" s="135" t="e">
        <f t="shared" si="45"/>
        <v>#VALUE!</v>
      </c>
      <c r="AC35" s="135" t="str">
        <f t="shared" si="46"/>
        <v/>
      </c>
      <c r="AD35" s="136" t="str">
        <f t="shared" si="47"/>
        <v/>
      </c>
      <c r="AE35" s="136" t="str">
        <f t="shared" si="48"/>
        <v/>
      </c>
      <c r="AF35" s="136" t="str">
        <f t="shared" si="4"/>
        <v/>
      </c>
      <c r="AG35" s="136" t="str">
        <f t="shared" si="5"/>
        <v/>
      </c>
      <c r="AH35" s="137" t="str">
        <f t="shared" si="49"/>
        <v/>
      </c>
      <c r="AI35" s="135" t="e">
        <f t="shared" si="50"/>
        <v>#VALUE!</v>
      </c>
      <c r="AJ35" s="135" t="str">
        <f t="shared" si="51"/>
        <v/>
      </c>
      <c r="AK35" s="31" t="str">
        <f t="shared" si="52"/>
        <v/>
      </c>
      <c r="AL35" s="31" t="str">
        <f t="shared" si="53"/>
        <v/>
      </c>
      <c r="AP35" t="s">
        <v>950</v>
      </c>
    </row>
    <row r="36" spans="1:42" x14ac:dyDescent="0.25">
      <c r="A36" t="s">
        <v>10</v>
      </c>
      <c r="C36" t="s">
        <v>12</v>
      </c>
      <c r="D36" s="5" t="s">
        <v>248</v>
      </c>
      <c r="E36" s="16"/>
      <c r="F36" s="5" t="str">
        <f>IFERROR(VLOOKUP(E36,'Chemical data ref sheet'!$A$1:$E$163,3,FALSE),"")</f>
        <v/>
      </c>
      <c r="G36" s="5"/>
      <c r="H36" s="5" t="str">
        <f>IFERROR(VLOOKUP(E36,'Chemical data ref sheet'!$A$1:$E$163,4,FALSE),"")</f>
        <v/>
      </c>
      <c r="I36" s="5" t="str">
        <f>IFERROR(VLOOKUP(E36,'Chemical data ref sheet'!$A$1:$E$163,5,FALSE),"")</f>
        <v/>
      </c>
      <c r="J36" s="7"/>
      <c r="K36" s="7"/>
      <c r="L36" s="290">
        <v>3.18</v>
      </c>
      <c r="M36" s="7"/>
      <c r="N36" s="7"/>
      <c r="O36" s="7"/>
      <c r="P36" s="133">
        <f>SUMIFS('Product samples'!E:E, 'Product samples'!A:A, B36)</f>
        <v>0</v>
      </c>
      <c r="Q36" s="134">
        <f t="shared" si="38"/>
        <v>0</v>
      </c>
      <c r="R36" s="57">
        <f t="shared" si="0"/>
        <v>1.2525162156117202E-2</v>
      </c>
      <c r="S36" s="135">
        <f t="shared" si="1"/>
        <v>4.3511160814135543</v>
      </c>
      <c r="T36" s="132" t="str">
        <f t="shared" si="39"/>
        <v/>
      </c>
      <c r="U36" s="32">
        <f t="shared" si="40"/>
        <v>13.836549138895103</v>
      </c>
      <c r="V36" s="135" t="str">
        <f t="shared" si="41"/>
        <v/>
      </c>
      <c r="W36" s="136" t="str">
        <f t="shared" si="42"/>
        <v/>
      </c>
      <c r="X36" s="136" t="str">
        <f t="shared" si="43"/>
        <v/>
      </c>
      <c r="Y36" s="136" t="str">
        <f t="shared" si="2"/>
        <v/>
      </c>
      <c r="Z36" s="136" t="str">
        <f t="shared" si="3"/>
        <v/>
      </c>
      <c r="AA36" s="137" t="str">
        <f t="shared" si="44"/>
        <v/>
      </c>
      <c r="AB36" s="135" t="e">
        <f t="shared" si="45"/>
        <v>#VALUE!</v>
      </c>
      <c r="AC36" s="135" t="str">
        <f t="shared" si="46"/>
        <v/>
      </c>
      <c r="AD36" s="136" t="str">
        <f t="shared" si="47"/>
        <v/>
      </c>
      <c r="AE36" s="136" t="str">
        <f t="shared" si="48"/>
        <v/>
      </c>
      <c r="AF36" s="136" t="str">
        <f t="shared" si="4"/>
        <v/>
      </c>
      <c r="AG36" s="136" t="str">
        <f t="shared" si="5"/>
        <v/>
      </c>
      <c r="AH36" s="137" t="str">
        <f t="shared" si="49"/>
        <v/>
      </c>
      <c r="AI36" s="135" t="e">
        <f t="shared" si="50"/>
        <v>#VALUE!</v>
      </c>
      <c r="AJ36" s="135" t="str">
        <f t="shared" si="51"/>
        <v/>
      </c>
      <c r="AK36" s="31" t="str">
        <f t="shared" si="52"/>
        <v/>
      </c>
      <c r="AL36" s="31" t="str">
        <f t="shared" si="53"/>
        <v/>
      </c>
      <c r="AP36" t="s">
        <v>918</v>
      </c>
    </row>
    <row r="37" spans="1:42" x14ac:dyDescent="0.25">
      <c r="A37" t="s">
        <v>10</v>
      </c>
      <c r="C37" t="s">
        <v>12</v>
      </c>
      <c r="D37" s="5" t="s">
        <v>248</v>
      </c>
      <c r="E37" s="16"/>
      <c r="F37" s="5" t="str">
        <f>IFERROR(VLOOKUP(E37,'Chemical data ref sheet'!$A$1:$E$163,3,FALSE),"")</f>
        <v/>
      </c>
      <c r="G37" s="5"/>
      <c r="H37" s="5" t="str">
        <f>IFERROR(VLOOKUP(E37,'Chemical data ref sheet'!$A$1:$E$163,4,FALSE),"")</f>
        <v/>
      </c>
      <c r="I37" s="5" t="str">
        <f>IFERROR(VLOOKUP(E37,'Chemical data ref sheet'!$A$1:$E$163,5,FALSE),"")</f>
        <v/>
      </c>
      <c r="J37" s="7"/>
      <c r="K37" s="7"/>
      <c r="L37" s="290">
        <v>3.18</v>
      </c>
      <c r="M37" s="7"/>
      <c r="N37" s="7"/>
      <c r="O37" s="7"/>
      <c r="P37" s="133">
        <f>SUMIFS('Product samples'!E:E, 'Product samples'!A:A, B37)</f>
        <v>0</v>
      </c>
      <c r="Q37" s="134">
        <f t="shared" si="38"/>
        <v>0</v>
      </c>
      <c r="R37" s="57">
        <f t="shared" si="0"/>
        <v>1.2525162156117202E-2</v>
      </c>
      <c r="S37" s="135">
        <f t="shared" si="1"/>
        <v>4.3511160814135543</v>
      </c>
      <c r="T37" s="132" t="str">
        <f t="shared" si="39"/>
        <v/>
      </c>
      <c r="U37" s="32">
        <f t="shared" si="40"/>
        <v>13.836549138895103</v>
      </c>
      <c r="V37" s="135" t="str">
        <f t="shared" si="41"/>
        <v/>
      </c>
      <c r="W37" s="136" t="str">
        <f t="shared" si="42"/>
        <v/>
      </c>
      <c r="X37" s="136" t="str">
        <f t="shared" si="43"/>
        <v/>
      </c>
      <c r="Y37" s="136" t="str">
        <f t="shared" si="2"/>
        <v/>
      </c>
      <c r="Z37" s="136" t="str">
        <f t="shared" si="3"/>
        <v/>
      </c>
      <c r="AA37" s="137" t="str">
        <f t="shared" si="44"/>
        <v/>
      </c>
      <c r="AB37" s="135" t="e">
        <f t="shared" si="45"/>
        <v>#VALUE!</v>
      </c>
      <c r="AC37" s="135" t="str">
        <f t="shared" si="46"/>
        <v/>
      </c>
      <c r="AD37" s="136" t="str">
        <f t="shared" si="47"/>
        <v/>
      </c>
      <c r="AE37" s="136" t="str">
        <f t="shared" si="48"/>
        <v/>
      </c>
      <c r="AF37" s="136" t="str">
        <f t="shared" si="4"/>
        <v/>
      </c>
      <c r="AG37" s="136" t="str">
        <f t="shared" si="5"/>
        <v/>
      </c>
      <c r="AH37" s="137" t="str">
        <f t="shared" si="49"/>
        <v/>
      </c>
      <c r="AI37" s="135" t="e">
        <f t="shared" si="50"/>
        <v>#VALUE!</v>
      </c>
      <c r="AJ37" s="135" t="str">
        <f t="shared" si="51"/>
        <v/>
      </c>
      <c r="AK37" s="31" t="str">
        <f t="shared" si="52"/>
        <v/>
      </c>
      <c r="AL37" s="31" t="str">
        <f t="shared" si="53"/>
        <v/>
      </c>
      <c r="AP37" t="s">
        <v>919</v>
      </c>
    </row>
    <row r="38" spans="1:42" x14ac:dyDescent="0.25">
      <c r="A38" t="s">
        <v>10</v>
      </c>
      <c r="C38" t="s">
        <v>12</v>
      </c>
      <c r="D38" s="5" t="str">
        <f>IFERROR(VLOOKUP(E38,'Chemical data ref sheet'!$A$1:$E$163,2,FALSE),"")</f>
        <v>2-propanol</v>
      </c>
      <c r="E38" s="16" t="s">
        <v>77</v>
      </c>
      <c r="F38" s="5">
        <f>IFERROR(VLOOKUP(E38,'Chemical data ref sheet'!$A$1:$E$163,3,FALSE),"")</f>
        <v>0</v>
      </c>
      <c r="G38" s="5"/>
      <c r="H38" s="5">
        <f>IFERROR(VLOOKUP(E38,'Chemical data ref sheet'!$A$1:$E$163,4,FALSE),"")</f>
        <v>60.1</v>
      </c>
      <c r="I38" s="5">
        <f>IFERROR(VLOOKUP(E38,'Chemical data ref sheet'!$A$1:$E$163,5,FALSE),"")</f>
        <v>0.78600000000000003</v>
      </c>
      <c r="J38" s="7"/>
      <c r="K38" s="7"/>
      <c r="L38" s="290">
        <v>0.91</v>
      </c>
      <c r="M38" s="7"/>
      <c r="N38" s="7"/>
      <c r="O38" s="7"/>
      <c r="P38" s="133">
        <f>SUMIFS('Product samples'!E:E, 'Product samples'!A:A, B38)</f>
        <v>0</v>
      </c>
      <c r="Q38" s="134">
        <f t="shared" si="38"/>
        <v>0</v>
      </c>
      <c r="R38" s="57">
        <f t="shared" si="0"/>
        <v>1.2525162156117202E-2</v>
      </c>
      <c r="S38" s="135">
        <f t="shared" si="1"/>
        <v>4.3511160814135543</v>
      </c>
      <c r="T38" s="132" t="str">
        <f t="shared" si="39"/>
        <v/>
      </c>
      <c r="U38" s="32">
        <f t="shared" si="40"/>
        <v>3.9595156340863347</v>
      </c>
      <c r="V38" s="135">
        <f t="shared" si="41"/>
        <v>5.0375516973108585</v>
      </c>
      <c r="W38" s="136" t="str">
        <f t="shared" si="42"/>
        <v/>
      </c>
      <c r="X38" s="136" t="str">
        <f t="shared" si="43"/>
        <v/>
      </c>
      <c r="Y38" s="136" t="str">
        <f t="shared" si="2"/>
        <v/>
      </c>
      <c r="Z38" s="136" t="str">
        <f t="shared" si="3"/>
        <v/>
      </c>
      <c r="AA38" s="137" t="str">
        <f t="shared" si="44"/>
        <v/>
      </c>
      <c r="AB38" s="135" t="e">
        <f t="shared" si="45"/>
        <v>#VALUE!</v>
      </c>
      <c r="AC38" s="135" t="str">
        <f t="shared" si="46"/>
        <v/>
      </c>
      <c r="AD38" s="136" t="str">
        <f t="shared" si="47"/>
        <v/>
      </c>
      <c r="AE38" s="136" t="str">
        <f t="shared" si="48"/>
        <v/>
      </c>
      <c r="AF38" s="136" t="str">
        <f t="shared" si="4"/>
        <v/>
      </c>
      <c r="AG38" s="136" t="str">
        <f t="shared" si="5"/>
        <v/>
      </c>
      <c r="AH38" s="137" t="str">
        <f t="shared" si="49"/>
        <v/>
      </c>
      <c r="AI38" s="135" t="e">
        <f t="shared" si="50"/>
        <v>#VALUE!</v>
      </c>
      <c r="AJ38" s="135" t="str">
        <f t="shared" si="51"/>
        <v/>
      </c>
      <c r="AK38" s="31" t="str">
        <f t="shared" si="52"/>
        <v/>
      </c>
      <c r="AL38" s="31" t="str">
        <f t="shared" si="53"/>
        <v/>
      </c>
      <c r="AP38" t="s">
        <v>934</v>
      </c>
    </row>
    <row r="39" spans="1:42" x14ac:dyDescent="0.25">
      <c r="A39" t="s">
        <v>10</v>
      </c>
      <c r="C39" t="s">
        <v>12</v>
      </c>
      <c r="D39" s="5" t="str">
        <f>IFERROR(VLOOKUP(E39,'Chemical data ref sheet'!$A$1:$E$163,2,FALSE),"")</f>
        <v>2-propanol</v>
      </c>
      <c r="E39" s="16" t="s">
        <v>77</v>
      </c>
      <c r="F39" s="5">
        <f>IFERROR(VLOOKUP(E39,'Chemical data ref sheet'!$A$1:$E$163,3,FALSE),"")</f>
        <v>0</v>
      </c>
      <c r="G39" s="5"/>
      <c r="H39" s="5">
        <f>IFERROR(VLOOKUP(E39,'Chemical data ref sheet'!$A$1:$E$163,4,FALSE),"")</f>
        <v>60.1</v>
      </c>
      <c r="I39" s="5">
        <f>IFERROR(VLOOKUP(E39,'Chemical data ref sheet'!$A$1:$E$163,5,FALSE),"")</f>
        <v>0.78600000000000003</v>
      </c>
      <c r="J39" s="7"/>
      <c r="K39" s="7"/>
      <c r="L39" s="290">
        <v>0.09</v>
      </c>
      <c r="M39" s="7"/>
      <c r="N39" s="7"/>
      <c r="O39" s="7"/>
      <c r="P39" s="133">
        <f>SUMIFS('Product samples'!E:E, 'Product samples'!A:A, B39)</f>
        <v>0</v>
      </c>
      <c r="Q39" s="134">
        <f t="shared" si="38"/>
        <v>0</v>
      </c>
      <c r="R39" s="57">
        <f t="shared" si="0"/>
        <v>1.2525162156117202E-2</v>
      </c>
      <c r="S39" s="135">
        <f t="shared" si="1"/>
        <v>4.3511160814135543</v>
      </c>
      <c r="T39" s="132" t="str">
        <f t="shared" si="39"/>
        <v/>
      </c>
      <c r="U39" s="32">
        <f t="shared" si="40"/>
        <v>0.39160044732721988</v>
      </c>
      <c r="V39" s="135">
        <f t="shared" si="41"/>
        <v>0.49821939863513975</v>
      </c>
      <c r="W39" s="136" t="str">
        <f t="shared" si="42"/>
        <v/>
      </c>
      <c r="X39" s="136" t="str">
        <f t="shared" si="43"/>
        <v/>
      </c>
      <c r="Y39" s="136" t="str">
        <f t="shared" si="2"/>
        <v/>
      </c>
      <c r="Z39" s="136" t="str">
        <f t="shared" si="3"/>
        <v/>
      </c>
      <c r="AA39" s="137" t="str">
        <f t="shared" si="44"/>
        <v/>
      </c>
      <c r="AB39" s="135" t="e">
        <f t="shared" si="45"/>
        <v>#VALUE!</v>
      </c>
      <c r="AC39" s="135" t="str">
        <f t="shared" si="46"/>
        <v/>
      </c>
      <c r="AD39" s="136" t="str">
        <f t="shared" si="47"/>
        <v/>
      </c>
      <c r="AE39" s="136" t="str">
        <f t="shared" si="48"/>
        <v/>
      </c>
      <c r="AF39" s="136" t="str">
        <f t="shared" si="4"/>
        <v/>
      </c>
      <c r="AG39" s="136" t="str">
        <f t="shared" si="5"/>
        <v/>
      </c>
      <c r="AH39" s="137" t="str">
        <f t="shared" si="49"/>
        <v/>
      </c>
      <c r="AI39" s="135" t="e">
        <f t="shared" si="50"/>
        <v>#VALUE!</v>
      </c>
      <c r="AJ39" s="135" t="str">
        <f t="shared" si="51"/>
        <v/>
      </c>
      <c r="AK39" s="31" t="str">
        <f t="shared" si="52"/>
        <v/>
      </c>
      <c r="AL39" s="31" t="str">
        <f t="shared" si="53"/>
        <v/>
      </c>
      <c r="AP39" t="s">
        <v>935</v>
      </c>
    </row>
    <row r="40" spans="1:42" x14ac:dyDescent="0.25">
      <c r="A40" t="s">
        <v>10</v>
      </c>
      <c r="B40" t="s">
        <v>11</v>
      </c>
      <c r="C40" t="s">
        <v>12</v>
      </c>
      <c r="D40" s="5" t="s">
        <v>11</v>
      </c>
      <c r="E40" s="16"/>
      <c r="F40" s="5" t="str">
        <f>IFERROR(VLOOKUP(E40,'Chemical data ref sheet'!$A$1:$E$163,3,FALSE),"")</f>
        <v/>
      </c>
      <c r="G40" s="5"/>
      <c r="H40" s="5">
        <v>240.26</v>
      </c>
      <c r="I40" s="5"/>
      <c r="J40" s="7"/>
      <c r="K40" s="7"/>
      <c r="L40" s="290"/>
      <c r="M40" s="7"/>
      <c r="N40" s="7"/>
      <c r="O40" s="7">
        <v>0.77</v>
      </c>
      <c r="P40" s="133">
        <f>SUMIFS('Product samples'!E:E, 'Product samples'!A:A, B40)</f>
        <v>0</v>
      </c>
      <c r="Q40" s="134">
        <f t="shared" si="6"/>
        <v>0</v>
      </c>
      <c r="R40" s="57">
        <f t="shared" si="0"/>
        <v>1.2525162156117202E-2</v>
      </c>
      <c r="S40" s="135">
        <f t="shared" si="1"/>
        <v>4.3511160814135543</v>
      </c>
      <c r="T40" s="132">
        <f t="shared" si="7"/>
        <v>9.6443748602102457E-3</v>
      </c>
      <c r="U40" s="32">
        <f t="shared" si="8"/>
        <v>2.3171575039141135</v>
      </c>
      <c r="V40" s="135" t="str">
        <f t="shared" si="9"/>
        <v/>
      </c>
      <c r="W40" s="136">
        <f t="shared" si="10"/>
        <v>9.6443748602102457E-3</v>
      </c>
      <c r="X40" s="136">
        <f t="shared" si="11"/>
        <v>2.3171575039141135</v>
      </c>
      <c r="Y40" s="136" t="str">
        <f t="shared" si="2"/>
        <v/>
      </c>
      <c r="Z40" s="136" t="str">
        <f t="shared" si="3"/>
        <v/>
      </c>
      <c r="AA40" s="137" t="str">
        <f t="shared" si="12"/>
        <v/>
      </c>
      <c r="AB40" s="135" t="str">
        <f t="shared" si="13"/>
        <v/>
      </c>
      <c r="AC40" s="135" t="str">
        <f t="shared" si="14"/>
        <v/>
      </c>
      <c r="AD40" s="136" t="str">
        <f t="shared" si="15"/>
        <v/>
      </c>
      <c r="AE40" s="136" t="str">
        <f t="shared" si="16"/>
        <v/>
      </c>
      <c r="AF40" s="136" t="str">
        <f t="shared" si="4"/>
        <v/>
      </c>
      <c r="AG40" s="136" t="str">
        <f t="shared" si="5"/>
        <v/>
      </c>
      <c r="AH40" s="137" t="str">
        <f t="shared" si="17"/>
        <v/>
      </c>
      <c r="AI40" s="135" t="str">
        <f t="shared" si="18"/>
        <v/>
      </c>
      <c r="AJ40" s="135" t="str">
        <f t="shared" si="19"/>
        <v/>
      </c>
      <c r="AK40" s="31" t="str">
        <f t="shared" si="20"/>
        <v/>
      </c>
      <c r="AL40" s="31" t="str">
        <f t="shared" si="21"/>
        <v/>
      </c>
    </row>
    <row r="41" spans="1:42" x14ac:dyDescent="0.25">
      <c r="D41" s="5" t="str">
        <f>IFERROR(VLOOKUP(E41,'Chemical data ref sheet'!$A$1:$E$163,2,FALSE),"")</f>
        <v/>
      </c>
      <c r="F41" s="5" t="str">
        <f>IFERROR(VLOOKUP(E41,'Chemical data ref sheet'!$A$1:$E$163,3,FALSE),"")</f>
        <v/>
      </c>
      <c r="H41" s="5" t="str">
        <f>IFERROR(VLOOKUP(E41,'Chemical data ref sheet'!$A$1:$E$163,4,FALSE),"")</f>
        <v/>
      </c>
      <c r="I41" s="5" t="str">
        <f>IFERROR(VLOOKUP(E41,'Chemical data ref sheet'!$A$1:$E$163,5,FALSE),"")</f>
        <v/>
      </c>
      <c r="P41" s="133">
        <f>SUMIFS('Product samples'!E:E, 'Product samples'!A:A, B41)</f>
        <v>0</v>
      </c>
      <c r="Q41" s="134">
        <f t="shared" si="6"/>
        <v>0</v>
      </c>
      <c r="R41" s="57" t="str">
        <f t="shared" si="0"/>
        <v/>
      </c>
      <c r="S41" s="135" t="str">
        <f t="shared" si="1"/>
        <v/>
      </c>
      <c r="T41" s="132" t="str">
        <f t="shared" si="7"/>
        <v/>
      </c>
      <c r="U41" s="32" t="str">
        <f t="shared" si="8"/>
        <v/>
      </c>
      <c r="V41" s="135" t="str">
        <f t="shared" si="9"/>
        <v/>
      </c>
      <c r="W41" s="136" t="str">
        <f t="shared" si="10"/>
        <v/>
      </c>
      <c r="X41" s="136" t="str">
        <f t="shared" si="11"/>
        <v/>
      </c>
      <c r="Y41" s="136" t="str">
        <f t="shared" si="2"/>
        <v/>
      </c>
      <c r="Z41" s="136" t="str">
        <f t="shared" si="3"/>
        <v/>
      </c>
      <c r="AA41" s="137" t="str">
        <f t="shared" si="12"/>
        <v/>
      </c>
      <c r="AB41" s="135" t="str">
        <f t="shared" si="13"/>
        <v/>
      </c>
      <c r="AC41" s="135" t="str">
        <f t="shared" si="14"/>
        <v/>
      </c>
      <c r="AD41" s="136" t="str">
        <f t="shared" si="15"/>
        <v/>
      </c>
      <c r="AE41" s="136" t="str">
        <f t="shared" si="16"/>
        <v/>
      </c>
      <c r="AF41" s="136" t="str">
        <f t="shared" si="4"/>
        <v/>
      </c>
      <c r="AG41" s="136" t="str">
        <f t="shared" si="5"/>
        <v/>
      </c>
      <c r="AH41" s="137" t="str">
        <f t="shared" si="17"/>
        <v/>
      </c>
      <c r="AI41" s="135" t="str">
        <f t="shared" si="18"/>
        <v/>
      </c>
      <c r="AJ41" s="135" t="str">
        <f t="shared" si="19"/>
        <v/>
      </c>
      <c r="AK41" s="31" t="str">
        <f t="shared" si="20"/>
        <v/>
      </c>
      <c r="AL41" s="31" t="str">
        <f t="shared" si="21"/>
        <v/>
      </c>
    </row>
    <row r="42" spans="1:42" x14ac:dyDescent="0.25">
      <c r="A42" t="s">
        <v>25</v>
      </c>
      <c r="C42" t="s">
        <v>11</v>
      </c>
      <c r="D42" s="5" t="s">
        <v>148</v>
      </c>
      <c r="E42" s="16"/>
      <c r="F42" s="5" t="str">
        <f>IFERROR(VLOOKUP(E42,'Chemical data ref sheet'!$A$1:$E$163,3,FALSE),"")</f>
        <v/>
      </c>
      <c r="G42" s="5"/>
      <c r="H42" s="5">
        <v>37.83</v>
      </c>
      <c r="I42" s="5" t="str">
        <f>IFERROR(VLOOKUP(E42,'Chemical data ref sheet'!$A$1:$E$163,5,FALSE),"")</f>
        <v/>
      </c>
      <c r="J42" s="7"/>
      <c r="K42" s="7"/>
      <c r="L42" s="290">
        <v>0.78</v>
      </c>
      <c r="M42" s="7"/>
      <c r="N42" s="7"/>
      <c r="O42" s="7"/>
      <c r="P42" s="133">
        <f>SUMIFS('Product samples'!E:E, 'Product samples'!A:A, B42)</f>
        <v>0</v>
      </c>
      <c r="Q42" s="134">
        <f t="shared" si="6"/>
        <v>0</v>
      </c>
      <c r="R42" s="57">
        <f t="shared" si="0"/>
        <v>9.6443748602102457E-3</v>
      </c>
      <c r="S42" s="135">
        <f t="shared" si="1"/>
        <v>2.3171575039141135</v>
      </c>
      <c r="T42" s="132" t="str">
        <f t="shared" si="7"/>
        <v/>
      </c>
      <c r="U42" s="32">
        <f t="shared" si="8"/>
        <v>1.8073828530530085</v>
      </c>
      <c r="V42" s="135" t="str">
        <f t="shared" si="9"/>
        <v/>
      </c>
      <c r="W42" s="136" t="str">
        <f t="shared" si="10"/>
        <v/>
      </c>
      <c r="X42" s="136" t="str">
        <f t="shared" si="11"/>
        <v/>
      </c>
      <c r="Y42" s="136" t="str">
        <f t="shared" si="2"/>
        <v/>
      </c>
      <c r="Z42" s="136" t="str">
        <f t="shared" si="3"/>
        <v/>
      </c>
      <c r="AA42" s="137" t="str">
        <f t="shared" si="12"/>
        <v/>
      </c>
      <c r="AB42" s="135" t="e">
        <f t="shared" si="13"/>
        <v>#VALUE!</v>
      </c>
      <c r="AC42" s="135" t="str">
        <f t="shared" si="14"/>
        <v/>
      </c>
      <c r="AD42" s="136" t="str">
        <f t="shared" si="15"/>
        <v/>
      </c>
      <c r="AE42" s="136" t="str">
        <f t="shared" si="16"/>
        <v/>
      </c>
      <c r="AF42" s="136" t="str">
        <f t="shared" si="4"/>
        <v/>
      </c>
      <c r="AG42" s="136" t="str">
        <f t="shared" si="5"/>
        <v/>
      </c>
      <c r="AH42" s="137" t="str">
        <f t="shared" si="17"/>
        <v/>
      </c>
      <c r="AI42" s="135" t="e">
        <f t="shared" si="18"/>
        <v>#VALUE!</v>
      </c>
      <c r="AJ42" s="135" t="str">
        <f t="shared" si="19"/>
        <v/>
      </c>
      <c r="AK42" s="31" t="str">
        <f t="shared" si="20"/>
        <v/>
      </c>
      <c r="AL42" s="31" t="str">
        <f t="shared" si="21"/>
        <v/>
      </c>
    </row>
    <row r="43" spans="1:42" x14ac:dyDescent="0.25">
      <c r="A43" t="s">
        <v>25</v>
      </c>
      <c r="C43" t="s">
        <v>11</v>
      </c>
      <c r="D43" s="5" t="s">
        <v>598</v>
      </c>
      <c r="E43" s="16"/>
      <c r="F43" s="5"/>
      <c r="G43" s="5">
        <v>50</v>
      </c>
      <c r="H43" s="5" t="str">
        <f>IFERROR(VLOOKUP(E43,'Chemical data ref sheet'!$A$1:$E$163,4,FALSE),"")</f>
        <v/>
      </c>
      <c r="I43" s="5" t="str">
        <f>IFERROR(VLOOKUP(E43,'Chemical data ref sheet'!$A$1:$E$163,5,FALSE),"")</f>
        <v/>
      </c>
      <c r="J43" s="7"/>
      <c r="K43" s="7"/>
      <c r="L43" s="290">
        <v>1</v>
      </c>
      <c r="M43" s="7"/>
      <c r="N43" s="7"/>
      <c r="O43" s="7"/>
      <c r="P43" s="133">
        <f>SUMIFS('Product samples'!E:E, 'Product samples'!A:A, B43)</f>
        <v>0</v>
      </c>
      <c r="Q43" s="134">
        <f>IFERROR((P43/1000)/H43,0)</f>
        <v>0</v>
      </c>
      <c r="R43" s="57">
        <f t="shared" si="0"/>
        <v>0.20810788312661282</v>
      </c>
      <c r="S43" s="135">
        <f t="shared" si="1"/>
        <v>50</v>
      </c>
      <c r="T43" s="132" t="str">
        <f>IF(AM43&lt;&gt;"",AM43/H43,IF(AND(C43=D43,C43&lt;&gt;""),R43,IF(O43&lt;&gt;"",O43*R43,IF(J43&lt;&gt;"",J43*R43,""))))</f>
        <v/>
      </c>
      <c r="U43" s="32">
        <f>IF(AND(H43&lt;&gt;"",T43&lt;&gt;""),T43*H43,IF(L43&lt;&gt;"",S43*L43,""))</f>
        <v>50</v>
      </c>
      <c r="V43" s="135" t="str">
        <f>IFERROR(IF(AND(U43&lt;&gt;"",I43&lt;&gt;""),U43/I43,IF(AND(S43&lt;&gt;"",K43&lt;&gt;""),K43*S43,"")),"")</f>
        <v/>
      </c>
      <c r="W43" s="136" t="str">
        <f>IFERROR(IF(B43&lt;&gt;"",T43-Q43,""),"")</f>
        <v/>
      </c>
      <c r="X43" s="136" t="str">
        <f>IFERROR(IF(B43&lt;&gt;"",U43-(P43/1000),""),"")</f>
        <v/>
      </c>
      <c r="Y43" s="136" t="str">
        <f t="shared" si="2"/>
        <v/>
      </c>
      <c r="Z43" s="136" t="str">
        <f t="shared" si="3"/>
        <v/>
      </c>
      <c r="AA43" s="137" t="str">
        <f>IF(AM43&lt;&gt;"",AM43/H43,IF(AND(C43=D43,C43&lt;&gt;""),Y43,IF(M43&lt;&gt;"",M43*Y43,IF(J43&lt;&gt;"",J43*Y43,""))))</f>
        <v/>
      </c>
      <c r="AB43" s="135" t="e">
        <f>IF(AND(H43&lt;&gt;"",AA43&lt;&gt;""),AA43*H43,IF(L43&lt;&gt;"",Z43*L43,""))</f>
        <v>#VALUE!</v>
      </c>
      <c r="AC43" s="135" t="str">
        <f>IFERROR(IF(AND(AB43&lt;&gt;"",I43&lt;&gt;""),AB43/I43,IF(AND(Z43&lt;&gt;"",K43&lt;&gt;""),K43*Z43,"")),"")</f>
        <v/>
      </c>
      <c r="AD43" s="136" t="str">
        <f>IFERROR(IF(B43&lt;&gt;"",AA43-Q43,""),"")</f>
        <v/>
      </c>
      <c r="AE43" s="136" t="str">
        <f>IFERROR(IF(B43&lt;&gt;"",AB43-(P43/1000),""),"")</f>
        <v/>
      </c>
      <c r="AF43" s="136" t="str">
        <f t="shared" si="4"/>
        <v/>
      </c>
      <c r="AG43" s="136" t="str">
        <f t="shared" si="5"/>
        <v/>
      </c>
      <c r="AH43" s="137" t="str">
        <f>IF(AM43&lt;&gt;"",AM43/H43,IF(AND(C43=D43,C43&lt;&gt;""),AF43,IF(N43&lt;&gt;"",N43*AF43,IF(J43&lt;&gt;"",J43*AF43,""))))</f>
        <v/>
      </c>
      <c r="AI43" s="135" t="e">
        <f>IF(AND(H43&lt;&gt;"",AH43&lt;&gt;""),AH43*H43,IF(L43&lt;&gt;"",AG43*L43,""))</f>
        <v>#VALUE!</v>
      </c>
      <c r="AJ43" s="135" t="str">
        <f>IFERROR(IF(AND(AI43&lt;&gt;"",I43&lt;&gt;""),AI43/I43,IF(AND(AG43&lt;&gt;"",K43&lt;&gt;""),K43*AG43,"")),"")</f>
        <v/>
      </c>
      <c r="AK43" s="31" t="str">
        <f>IFERROR(IF(B43&lt;&gt;"",AH43-Q43,""),"")</f>
        <v/>
      </c>
      <c r="AL43" s="31" t="str">
        <f>IFERROR(IF(B43&lt;&gt;"",AI43-(Q43/1000),""),"")</f>
        <v/>
      </c>
    </row>
    <row r="44" spans="1:42" x14ac:dyDescent="0.25">
      <c r="A44" t="s">
        <v>25</v>
      </c>
      <c r="C44" t="s">
        <v>11</v>
      </c>
      <c r="D44" s="5" t="str">
        <f>IFERROR(VLOOKUP(E44,'Chemical data ref sheet'!$A$1:$E$163,2,FALSE),"")</f>
        <v>Anhydrous EtOH</v>
      </c>
      <c r="E44" s="16" t="s">
        <v>84</v>
      </c>
      <c r="F44" s="5">
        <f>IFERROR(VLOOKUP(E44,'Chemical data ref sheet'!$A$1:$E$163,3,FALSE),"")</f>
        <v>0</v>
      </c>
      <c r="G44" s="5"/>
      <c r="H44" s="5">
        <f>IFERROR(VLOOKUP(E44,'Chemical data ref sheet'!$A$1:$E$163,4,FALSE),"")</f>
        <v>46.067999999999998</v>
      </c>
      <c r="I44" s="5">
        <f>IFERROR(VLOOKUP(E44,'Chemical data ref sheet'!$A$1:$E$163,5,FALSE),"")</f>
        <v>0.78900000000000003</v>
      </c>
      <c r="J44" s="7"/>
      <c r="K44" s="7"/>
      <c r="L44" s="290">
        <f>10.48/1.17</f>
        <v>8.9572649572649574</v>
      </c>
      <c r="M44" s="7"/>
      <c r="N44" s="7"/>
      <c r="O44" s="7"/>
      <c r="P44" s="133">
        <f>SUMIFS('Product samples'!E:E, 'Product samples'!A:A, B44)</f>
        <v>0</v>
      </c>
      <c r="Q44" s="134">
        <f t="shared" si="6"/>
        <v>0</v>
      </c>
      <c r="R44" s="57">
        <f t="shared" si="0"/>
        <v>9.6443748602102457E-3</v>
      </c>
      <c r="S44" s="135">
        <f t="shared" si="1"/>
        <v>2.3171575039141135</v>
      </c>
      <c r="T44" s="132" t="str">
        <f t="shared" si="7"/>
        <v/>
      </c>
      <c r="U44" s="32">
        <f t="shared" si="8"/>
        <v>20.755393710273427</v>
      </c>
      <c r="V44" s="135">
        <f t="shared" si="9"/>
        <v>26.305948935707764</v>
      </c>
      <c r="W44" s="136" t="str">
        <f t="shared" si="10"/>
        <v/>
      </c>
      <c r="X44" s="136" t="str">
        <f t="shared" si="11"/>
        <v/>
      </c>
      <c r="Y44" s="136" t="str">
        <f t="shared" si="2"/>
        <v/>
      </c>
      <c r="Z44" s="136" t="str">
        <f t="shared" si="3"/>
        <v/>
      </c>
      <c r="AA44" s="137" t="str">
        <f t="shared" si="12"/>
        <v/>
      </c>
      <c r="AB44" s="135" t="e">
        <f t="shared" si="13"/>
        <v>#VALUE!</v>
      </c>
      <c r="AC44" s="135" t="str">
        <f t="shared" si="14"/>
        <v/>
      </c>
      <c r="AD44" s="136" t="str">
        <f t="shared" si="15"/>
        <v/>
      </c>
      <c r="AE44" s="136" t="str">
        <f t="shared" si="16"/>
        <v/>
      </c>
      <c r="AF44" s="136" t="str">
        <f t="shared" si="4"/>
        <v/>
      </c>
      <c r="AG44" s="136" t="str">
        <f t="shared" si="5"/>
        <v/>
      </c>
      <c r="AH44" s="137" t="str">
        <f t="shared" si="17"/>
        <v/>
      </c>
      <c r="AI44" s="135" t="e">
        <f t="shared" si="18"/>
        <v>#VALUE!</v>
      </c>
      <c r="AJ44" s="135" t="str">
        <f t="shared" si="19"/>
        <v/>
      </c>
      <c r="AK44" s="31" t="str">
        <f t="shared" si="20"/>
        <v/>
      </c>
      <c r="AL44" s="31" t="str">
        <f t="shared" si="21"/>
        <v/>
      </c>
    </row>
    <row r="45" spans="1:42" x14ac:dyDescent="0.25">
      <c r="A45" t="s">
        <v>25</v>
      </c>
      <c r="C45" t="s">
        <v>11</v>
      </c>
      <c r="D45" s="5" t="s">
        <v>248</v>
      </c>
      <c r="E45" s="16"/>
      <c r="F45" s="5" t="str">
        <f>IFERROR(VLOOKUP(E45,'Chemical data ref sheet'!$A$1:$E$163,3,FALSE),"")</f>
        <v/>
      </c>
      <c r="G45" s="5"/>
      <c r="H45" s="5" t="str">
        <f>IFERROR(VLOOKUP(E45,'Chemical data ref sheet'!$A$1:$E$163,4,FALSE),"")</f>
        <v/>
      </c>
      <c r="I45" s="5" t="str">
        <f>IFERROR(VLOOKUP(E45,'Chemical data ref sheet'!$A$1:$E$163,5,FALSE),"")</f>
        <v/>
      </c>
      <c r="J45" s="7"/>
      <c r="K45" s="7"/>
      <c r="L45" s="290">
        <v>2.56</v>
      </c>
      <c r="M45" s="7"/>
      <c r="N45" s="7"/>
      <c r="O45" s="7"/>
      <c r="P45" s="133">
        <f>SUMIFS('Product samples'!E:E, 'Product samples'!A:A, B45)</f>
        <v>0</v>
      </c>
      <c r="Q45" s="134">
        <f t="shared" ref="Q45:Q56" si="54">IFERROR((P45/1000)/H45,0)</f>
        <v>0</v>
      </c>
      <c r="R45" s="57">
        <f t="shared" si="0"/>
        <v>9.6443748602102457E-3</v>
      </c>
      <c r="S45" s="135">
        <f t="shared" si="1"/>
        <v>2.3171575039141135</v>
      </c>
      <c r="T45" s="132" t="str">
        <f t="shared" ref="T45:T56" si="55">IF(AM45&lt;&gt;"",AM45/H45,IF(AND(C45=D45,C45&lt;&gt;""),R45,IF(O45&lt;&gt;"",O45*R45,IF(J45&lt;&gt;"",J45*R45,""))))</f>
        <v/>
      </c>
      <c r="U45" s="32">
        <f t="shared" ref="U45:U56" si="56">IF(AND(H45&lt;&gt;"",T45&lt;&gt;""),T45*H45,IF(L45&lt;&gt;"",S45*L45,""))</f>
        <v>5.9319232100201305</v>
      </c>
      <c r="V45" s="135" t="str">
        <f t="shared" ref="V45:V56" si="57">IFERROR(IF(AND(U45&lt;&gt;"",I45&lt;&gt;""),U45/I45,IF(AND(S45&lt;&gt;"",K45&lt;&gt;""),K45*S45,"")),"")</f>
        <v/>
      </c>
      <c r="W45" s="136" t="str">
        <f>IFERROR(IF(B45&lt;&gt;"",T45-Q45,""),"")</f>
        <v/>
      </c>
      <c r="X45" s="136" t="str">
        <f>IFERROR(IF(B45&lt;&gt;"",U45-(P45/1000),""),"")</f>
        <v/>
      </c>
      <c r="Y45" s="136" t="str">
        <f t="shared" si="2"/>
        <v/>
      </c>
      <c r="Z45" s="136" t="str">
        <f t="shared" si="3"/>
        <v/>
      </c>
      <c r="AA45" s="137" t="str">
        <f>IF(AM45&lt;&gt;"",AM45/H45,IF(AND(C45=D45,C45&lt;&gt;""),Y45,IF(M45&lt;&gt;"",M45*Y45,IF(J45&lt;&gt;"",J45*Y45,""))))</f>
        <v/>
      </c>
      <c r="AB45" s="135" t="e">
        <f>IF(AND(H45&lt;&gt;"",AA45&lt;&gt;""),AA45*H45,IF(L45&lt;&gt;"",Z45*L45,""))</f>
        <v>#VALUE!</v>
      </c>
      <c r="AC45" s="135" t="str">
        <f>IFERROR(IF(AND(AB45&lt;&gt;"",I45&lt;&gt;""),AB45/I45,IF(AND(Z45&lt;&gt;"",K45&lt;&gt;""),K45*Z45,"")),"")</f>
        <v/>
      </c>
      <c r="AD45" s="136" t="str">
        <f>IFERROR(IF(B45&lt;&gt;"",AA45-Q45,""),"")</f>
        <v/>
      </c>
      <c r="AE45" s="136" t="str">
        <f>IFERROR(IF(B45&lt;&gt;"",AB45-(P45/1000),""),"")</f>
        <v/>
      </c>
      <c r="AF45" s="136" t="str">
        <f t="shared" si="4"/>
        <v/>
      </c>
      <c r="AG45" s="136" t="str">
        <f t="shared" si="5"/>
        <v/>
      </c>
      <c r="AH45" s="137" t="str">
        <f>IF(AM45&lt;&gt;"",AM45/H45,IF(AND(C45=D45,C45&lt;&gt;""),AF45,IF(N45&lt;&gt;"",N45*AF45,IF(J45&lt;&gt;"",J45*AF45,""))))</f>
        <v/>
      </c>
      <c r="AI45" s="135" t="e">
        <f>IF(AND(H45&lt;&gt;"",AH45&lt;&gt;""),AH45*H45,IF(L45&lt;&gt;"",AG45*L45,""))</f>
        <v>#VALUE!</v>
      </c>
      <c r="AJ45" s="135" t="str">
        <f>IFERROR(IF(AND(AI45&lt;&gt;"",I45&lt;&gt;""),AI45/I45,IF(AND(AG45&lt;&gt;"",K45&lt;&gt;""),K45*AG45,"")),"")</f>
        <v/>
      </c>
      <c r="AK45" s="31" t="str">
        <f>IFERROR(IF(B45&lt;&gt;"",AH45-Q45,""),"")</f>
        <v/>
      </c>
      <c r="AL45" s="31" t="str">
        <f>IFERROR(IF(B45&lt;&gt;"",AI45-(Q45/1000),""),"")</f>
        <v/>
      </c>
      <c r="AP45" t="s">
        <v>936</v>
      </c>
    </row>
    <row r="46" spans="1:42" x14ac:dyDescent="0.25">
      <c r="A46" t="s">
        <v>25</v>
      </c>
      <c r="C46" t="s">
        <v>11</v>
      </c>
      <c r="D46" s="5" t="s">
        <v>248</v>
      </c>
      <c r="E46" s="16"/>
      <c r="F46" s="5" t="str">
        <f>IFERROR(VLOOKUP(E46,'Chemical data ref sheet'!$A$1:$E$163,3,FALSE),"")</f>
        <v/>
      </c>
      <c r="G46" s="5"/>
      <c r="H46" s="5" t="str">
        <f>IFERROR(VLOOKUP(E46,'Chemical data ref sheet'!$A$1:$E$163,4,FALSE),"")</f>
        <v/>
      </c>
      <c r="I46" s="5" t="str">
        <f>IFERROR(VLOOKUP(E46,'Chemical data ref sheet'!$A$1:$E$163,5,FALSE),"")</f>
        <v/>
      </c>
      <c r="J46" s="7"/>
      <c r="K46" s="7"/>
      <c r="L46" s="290">
        <v>17.09</v>
      </c>
      <c r="M46" s="7"/>
      <c r="N46" s="7"/>
      <c r="O46" s="7"/>
      <c r="P46" s="133">
        <f>SUMIFS('Product samples'!E:E, 'Product samples'!A:A, B46)</f>
        <v>0</v>
      </c>
      <c r="Q46" s="134">
        <f t="shared" si="54"/>
        <v>0</v>
      </c>
      <c r="R46" s="57">
        <f t="shared" si="0"/>
        <v>9.6443748602102457E-3</v>
      </c>
      <c r="S46" s="135">
        <f t="shared" si="1"/>
        <v>2.3171575039141135</v>
      </c>
      <c r="T46" s="132" t="str">
        <f t="shared" si="55"/>
        <v/>
      </c>
      <c r="U46" s="32">
        <f t="shared" si="56"/>
        <v>39.600221741892199</v>
      </c>
      <c r="V46" s="135" t="str">
        <f t="shared" si="57"/>
        <v/>
      </c>
      <c r="W46" s="136" t="str">
        <f>IFERROR(IF(B46&lt;&gt;"",T46-Q46,""),"")</f>
        <v/>
      </c>
      <c r="X46" s="136" t="str">
        <f>IFERROR(IF(B46&lt;&gt;"",U46-(P46/1000),""),"")</f>
        <v/>
      </c>
      <c r="Y46" s="136" t="str">
        <f t="shared" si="2"/>
        <v/>
      </c>
      <c r="Z46" s="136" t="str">
        <f t="shared" si="3"/>
        <v/>
      </c>
      <c r="AA46" s="137" t="str">
        <f>IF(AM46&lt;&gt;"",AM46/H46,IF(AND(C46=D46,C46&lt;&gt;""),Y46,IF(M46&lt;&gt;"",M46*Y46,IF(J46&lt;&gt;"",J46*Y46,""))))</f>
        <v/>
      </c>
      <c r="AB46" s="135" t="e">
        <f>IF(AND(H46&lt;&gt;"",AA46&lt;&gt;""),AA46*H46,IF(L46&lt;&gt;"",Z46*L46,""))</f>
        <v>#VALUE!</v>
      </c>
      <c r="AC46" s="135" t="str">
        <f>IFERROR(IF(AND(AB46&lt;&gt;"",I46&lt;&gt;""),AB46/I46,IF(AND(Z46&lt;&gt;"",K46&lt;&gt;""),K46*Z46,"")),"")</f>
        <v/>
      </c>
      <c r="AD46" s="136" t="str">
        <f>IFERROR(IF(B46&lt;&gt;"",AA46-Q46,""),"")</f>
        <v/>
      </c>
      <c r="AE46" s="136" t="str">
        <f>IFERROR(IF(B46&lt;&gt;"",AB46-(P46/1000),""),"")</f>
        <v/>
      </c>
      <c r="AF46" s="136" t="str">
        <f t="shared" si="4"/>
        <v/>
      </c>
      <c r="AG46" s="136" t="str">
        <f t="shared" si="5"/>
        <v/>
      </c>
      <c r="AH46" s="137" t="str">
        <f>IF(AM46&lt;&gt;"",AM46/H46,IF(AND(C46=D46,C46&lt;&gt;""),AF46,IF(N46&lt;&gt;"",N46*AF46,IF(J46&lt;&gt;"",J46*AF46,""))))</f>
        <v/>
      </c>
      <c r="AI46" s="135" t="e">
        <f>IF(AND(H46&lt;&gt;"",AH46&lt;&gt;""),AH46*H46,IF(L46&lt;&gt;"",AG46*L46,""))</f>
        <v>#VALUE!</v>
      </c>
      <c r="AJ46" s="135" t="str">
        <f>IFERROR(IF(AND(AI46&lt;&gt;"",I46&lt;&gt;""),AI46/I46,IF(AND(AG46&lt;&gt;"",K46&lt;&gt;""),K46*AG46,"")),"")</f>
        <v/>
      </c>
      <c r="AK46" s="31" t="str">
        <f>IFERROR(IF(B46&lt;&gt;"",AH46-Q46,""),"")</f>
        <v/>
      </c>
      <c r="AL46" s="31" t="str">
        <f>IFERROR(IF(B46&lt;&gt;"",AI46-(Q46/1000),""),"")</f>
        <v/>
      </c>
      <c r="AP46" t="s">
        <v>937</v>
      </c>
    </row>
    <row r="47" spans="1:42" x14ac:dyDescent="0.25">
      <c r="A47" t="s">
        <v>25</v>
      </c>
      <c r="C47" t="s">
        <v>11</v>
      </c>
      <c r="D47" s="5" t="s">
        <v>248</v>
      </c>
      <c r="E47" s="16"/>
      <c r="F47" s="5" t="str">
        <f>IFERROR(VLOOKUP(E47,'Chemical data ref sheet'!$A$1:$E$163,3,FALSE),"")</f>
        <v/>
      </c>
      <c r="G47" s="5"/>
      <c r="H47" s="5" t="str">
        <f>IFERROR(VLOOKUP(E47,'Chemical data ref sheet'!$A$1:$E$163,4,FALSE),"")</f>
        <v/>
      </c>
      <c r="I47" s="5" t="str">
        <f>IFERROR(VLOOKUP(E47,'Chemical data ref sheet'!$A$1:$E$163,5,FALSE),"")</f>
        <v/>
      </c>
      <c r="J47" s="7"/>
      <c r="K47" s="7"/>
      <c r="L47" s="290">
        <v>9.4</v>
      </c>
      <c r="M47" s="7"/>
      <c r="N47" s="7"/>
      <c r="O47" s="7"/>
      <c r="P47" s="133">
        <f>SUMIFS('Product samples'!E:E, 'Product samples'!A:A, B47)</f>
        <v>0</v>
      </c>
      <c r="Q47" s="134">
        <f t="shared" si="54"/>
        <v>0</v>
      </c>
      <c r="R47" s="57">
        <f t="shared" si="0"/>
        <v>9.6443748602102457E-3</v>
      </c>
      <c r="S47" s="135">
        <f t="shared" si="1"/>
        <v>2.3171575039141135</v>
      </c>
      <c r="T47" s="132" t="str">
        <f t="shared" si="55"/>
        <v/>
      </c>
      <c r="U47" s="32">
        <f t="shared" si="56"/>
        <v>21.781280536792668</v>
      </c>
      <c r="V47" s="135" t="str">
        <f t="shared" si="57"/>
        <v/>
      </c>
      <c r="W47" s="136" t="str">
        <f>IFERROR(IF(B47&lt;&gt;"",T47-Q47,""),"")</f>
        <v/>
      </c>
      <c r="X47" s="136" t="str">
        <f>IFERROR(IF(B47&lt;&gt;"",U47-(P47/1000),""),"")</f>
        <v/>
      </c>
      <c r="Y47" s="136" t="str">
        <f t="shared" si="2"/>
        <v/>
      </c>
      <c r="Z47" s="136" t="str">
        <f t="shared" si="3"/>
        <v/>
      </c>
      <c r="AA47" s="137" t="str">
        <f>IF(AM47&lt;&gt;"",AM47/H47,IF(AND(C47=D47,C47&lt;&gt;""),Y47,IF(M47&lt;&gt;"",M47*Y47,IF(J47&lt;&gt;"",J47*Y47,""))))</f>
        <v/>
      </c>
      <c r="AB47" s="135" t="e">
        <f>IF(AND(H47&lt;&gt;"",AA47&lt;&gt;""),AA47*H47,IF(L47&lt;&gt;"",Z47*L47,""))</f>
        <v>#VALUE!</v>
      </c>
      <c r="AC47" s="135" t="str">
        <f>IFERROR(IF(AND(AB47&lt;&gt;"",I47&lt;&gt;""),AB47/I47,IF(AND(Z47&lt;&gt;"",K47&lt;&gt;""),K47*Z47,"")),"")</f>
        <v/>
      </c>
      <c r="AD47" s="136" t="str">
        <f>IFERROR(IF(B47&lt;&gt;"",AA47-Q47,""),"")</f>
        <v/>
      </c>
      <c r="AE47" s="136" t="str">
        <f>IFERROR(IF(B47&lt;&gt;"",AB47-(P47/1000),""),"")</f>
        <v/>
      </c>
      <c r="AF47" s="136" t="str">
        <f t="shared" si="4"/>
        <v/>
      </c>
      <c r="AG47" s="136" t="str">
        <f t="shared" si="5"/>
        <v/>
      </c>
      <c r="AH47" s="137" t="str">
        <f>IF(AM47&lt;&gt;"",AM47/H47,IF(AND(C47=D47,C47&lt;&gt;""),AF47,IF(N47&lt;&gt;"",N47*AF47,IF(J47&lt;&gt;"",J47*AF47,""))))</f>
        <v/>
      </c>
      <c r="AI47" s="135" t="e">
        <f>IF(AND(H47&lt;&gt;"",AH47&lt;&gt;""),AH47*H47,IF(L47&lt;&gt;"",AG47*L47,""))</f>
        <v>#VALUE!</v>
      </c>
      <c r="AJ47" s="135" t="str">
        <f>IFERROR(IF(AND(AI47&lt;&gt;"",I47&lt;&gt;""),AI47/I47,IF(AND(AG47&lt;&gt;"",K47&lt;&gt;""),K47*AG47,"")),"")</f>
        <v/>
      </c>
      <c r="AK47" s="31" t="str">
        <f>IFERROR(IF(B47&lt;&gt;"",AH47-Q47,""),"")</f>
        <v/>
      </c>
      <c r="AL47" s="31" t="str">
        <f>IFERROR(IF(B47&lt;&gt;"",AI47-(Q47/1000),""),"")</f>
        <v/>
      </c>
      <c r="AP47" t="s">
        <v>938</v>
      </c>
    </row>
    <row r="48" spans="1:42" x14ac:dyDescent="0.25">
      <c r="A48" t="s">
        <v>25</v>
      </c>
      <c r="C48" t="s">
        <v>11</v>
      </c>
      <c r="D48" s="5" t="str">
        <f>IFERROR(VLOOKUP(E48,'Chemical data ref sheet'!$A$1:$E$163,2,FALSE),"")</f>
        <v>Sodium chloride</v>
      </c>
      <c r="E48" s="16" t="s">
        <v>103</v>
      </c>
      <c r="F48" s="5"/>
      <c r="G48" s="5"/>
      <c r="H48" s="5">
        <f>IFERROR(VLOOKUP(E48,'Chemical data ref sheet'!$A$1:$E$163,4,FALSE),"")</f>
        <v>58.44</v>
      </c>
      <c r="I48" s="5">
        <f>IFERROR(VLOOKUP(E48,'Chemical data ref sheet'!$A$1:$E$163,5,FALSE),"")</f>
        <v>0</v>
      </c>
      <c r="J48" s="7"/>
      <c r="K48" s="7"/>
      <c r="L48" s="290">
        <v>4</v>
      </c>
      <c r="M48" s="7"/>
      <c r="N48" s="7"/>
      <c r="O48" s="7"/>
      <c r="P48" s="133">
        <f>SUMIFS('Product samples'!E:E, 'Product samples'!A:A, B48)</f>
        <v>0</v>
      </c>
      <c r="Q48" s="134">
        <f t="shared" si="54"/>
        <v>0</v>
      </c>
      <c r="R48" s="57">
        <f t="shared" si="0"/>
        <v>9.6443748602102457E-3</v>
      </c>
      <c r="S48" s="135">
        <f t="shared" si="1"/>
        <v>2.3171575039141135</v>
      </c>
      <c r="T48" s="132" t="str">
        <f t="shared" si="55"/>
        <v/>
      </c>
      <c r="U48" s="32">
        <f t="shared" si="56"/>
        <v>9.2686300156564538</v>
      </c>
      <c r="V48" s="135" t="str">
        <f t="shared" si="57"/>
        <v/>
      </c>
      <c r="W48" s="136" t="str">
        <f>IFERROR(IF(B48&lt;&gt;"",T48-Q48,""),"")</f>
        <v/>
      </c>
      <c r="X48" s="136" t="str">
        <f>IFERROR(IF(B48&lt;&gt;"",U48-(P48/1000),""),"")</f>
        <v/>
      </c>
      <c r="Y48" s="136" t="str">
        <f t="shared" si="2"/>
        <v/>
      </c>
      <c r="Z48" s="136" t="str">
        <f t="shared" si="3"/>
        <v/>
      </c>
      <c r="AA48" s="137" t="str">
        <f>IF(AM48&lt;&gt;"",AM48/H48,IF(AND(C48=D48,C48&lt;&gt;""),Y48,IF(M48&lt;&gt;"",M48*Y48,IF(J48&lt;&gt;"",J48*Y48,""))))</f>
        <v/>
      </c>
      <c r="AB48" s="135" t="e">
        <f>IF(AND(H48&lt;&gt;"",AA48&lt;&gt;""),AA48*H48,IF(L48&lt;&gt;"",Z48*L48,""))</f>
        <v>#VALUE!</v>
      </c>
      <c r="AC48" s="135" t="str">
        <f>IFERROR(IF(AND(AB48&lt;&gt;"",I48&lt;&gt;""),AB48/I48,IF(AND(Z48&lt;&gt;"",K48&lt;&gt;""),K48*Z48,"")),"")</f>
        <v/>
      </c>
      <c r="AD48" s="136" t="str">
        <f>IFERROR(IF(B48&lt;&gt;"",AA48-Q48,""),"")</f>
        <v/>
      </c>
      <c r="AE48" s="136" t="str">
        <f>IFERROR(IF(B48&lt;&gt;"",AB48-(P48/1000),""),"")</f>
        <v/>
      </c>
      <c r="AF48" s="136" t="str">
        <f t="shared" si="4"/>
        <v/>
      </c>
      <c r="AG48" s="136" t="str">
        <f t="shared" si="5"/>
        <v/>
      </c>
      <c r="AH48" s="137" t="str">
        <f>IF(AM48&lt;&gt;"",AM48/H48,IF(AND(C48=D48,C48&lt;&gt;""),AF48,IF(N48&lt;&gt;"",N48*AF48,IF(J48&lt;&gt;"",J48*AF48,""))))</f>
        <v/>
      </c>
      <c r="AI48" s="135" t="e">
        <f>IF(AND(H48&lt;&gt;"",AH48&lt;&gt;""),AH48*H48,IF(L48&lt;&gt;"",AG48*L48,""))</f>
        <v>#VALUE!</v>
      </c>
      <c r="AJ48" s="135" t="str">
        <f>IFERROR(IF(AND(AI48&lt;&gt;"",I48&lt;&gt;""),AI48/I48,IF(AND(AG48&lt;&gt;"",K48&lt;&gt;""),K48*AG48,"")),"")</f>
        <v/>
      </c>
      <c r="AK48" s="31" t="str">
        <f>IFERROR(IF(B48&lt;&gt;"",AH48-Q48,""),"")</f>
        <v/>
      </c>
      <c r="AL48" s="31" t="str">
        <f>IFERROR(IF(B48&lt;&gt;"",AI48-(Q48/1000),""),"")</f>
        <v/>
      </c>
      <c r="AP48" t="s">
        <v>938</v>
      </c>
    </row>
    <row r="49" spans="1:42" x14ac:dyDescent="0.25">
      <c r="A49" t="s">
        <v>25</v>
      </c>
      <c r="C49" t="s">
        <v>11</v>
      </c>
      <c r="D49" s="5" t="s">
        <v>252</v>
      </c>
      <c r="E49" s="4" t="s">
        <v>251</v>
      </c>
      <c r="F49" s="5" t="str">
        <f>IFERROR(VLOOKUP(E49,'Chemical data ref sheet'!$A$1:$E$163,3,FALSE),"")</f>
        <v/>
      </c>
      <c r="G49" s="5"/>
      <c r="H49" s="5" t="str">
        <f>IFERROR(VLOOKUP(E49,'Chemical data ref sheet'!$A$1:$E$163,4,FALSE),"")</f>
        <v/>
      </c>
      <c r="I49" s="5" t="str">
        <f>IFERROR(VLOOKUP(E49,'Chemical data ref sheet'!$A$1:$E$163,5,FALSE),"")</f>
        <v/>
      </c>
      <c r="J49" s="7"/>
      <c r="K49" s="7"/>
      <c r="L49" s="290">
        <v>4.76</v>
      </c>
      <c r="M49" s="7"/>
      <c r="N49" s="7"/>
      <c r="O49" s="7"/>
      <c r="P49" s="133">
        <f>SUMIFS('Product samples'!E:E, 'Product samples'!A:A, B49)</f>
        <v>0</v>
      </c>
      <c r="Q49" s="134">
        <f t="shared" si="54"/>
        <v>0</v>
      </c>
      <c r="R49" s="57">
        <f t="shared" si="0"/>
        <v>9.6443748602102457E-3</v>
      </c>
      <c r="S49" s="135">
        <f t="shared" si="1"/>
        <v>2.3171575039141135</v>
      </c>
      <c r="T49" s="132" t="str">
        <f t="shared" si="55"/>
        <v/>
      </c>
      <c r="U49" s="32">
        <f t="shared" si="56"/>
        <v>11.02966971863118</v>
      </c>
      <c r="V49" s="135" t="str">
        <f t="shared" si="57"/>
        <v/>
      </c>
      <c r="W49" s="136" t="str">
        <f t="shared" ref="W49:W54" si="58">IFERROR(IF(B49&lt;&gt;"",T49-Q49,""),"")</f>
        <v/>
      </c>
      <c r="X49" s="136" t="str">
        <f t="shared" ref="X49:X54" si="59">IFERROR(IF(B49&lt;&gt;"",U49-(P49/1000),""),"")</f>
        <v/>
      </c>
      <c r="Y49" s="136" t="str">
        <f t="shared" si="2"/>
        <v/>
      </c>
      <c r="Z49" s="136" t="str">
        <f t="shared" si="3"/>
        <v/>
      </c>
      <c r="AA49" s="137" t="str">
        <f t="shared" ref="AA49:AA54" si="60">IF(AM49&lt;&gt;"",AM49/H49,IF(AND(C49=D49,C49&lt;&gt;""),Y49,IF(M49&lt;&gt;"",M49*Y49,IF(J49&lt;&gt;"",J49*Y49,""))))</f>
        <v/>
      </c>
      <c r="AB49" s="135" t="e">
        <f t="shared" ref="AB49:AB54" si="61">IF(AND(H49&lt;&gt;"",AA49&lt;&gt;""),AA49*H49,IF(L49&lt;&gt;"",Z49*L49,""))</f>
        <v>#VALUE!</v>
      </c>
      <c r="AC49" s="135" t="str">
        <f t="shared" ref="AC49:AC54" si="62">IFERROR(IF(AND(AB49&lt;&gt;"",I49&lt;&gt;""),AB49/I49,IF(AND(Z49&lt;&gt;"",K49&lt;&gt;""),K49*Z49,"")),"")</f>
        <v/>
      </c>
      <c r="AD49" s="136" t="str">
        <f t="shared" ref="AD49:AD54" si="63">IFERROR(IF(B49&lt;&gt;"",AA49-Q49,""),"")</f>
        <v/>
      </c>
      <c r="AE49" s="136" t="str">
        <f t="shared" ref="AE49:AE54" si="64">IFERROR(IF(B49&lt;&gt;"",AB49-(P49/1000),""),"")</f>
        <v/>
      </c>
      <c r="AF49" s="136" t="str">
        <f t="shared" si="4"/>
        <v/>
      </c>
      <c r="AG49" s="136" t="str">
        <f t="shared" si="5"/>
        <v/>
      </c>
      <c r="AH49" s="137" t="str">
        <f t="shared" ref="AH49:AH54" si="65">IF(AM49&lt;&gt;"",AM49/H49,IF(AND(C49=D49,C49&lt;&gt;""),AF49,IF(N49&lt;&gt;"",N49*AF49,IF(J49&lt;&gt;"",J49*AF49,""))))</f>
        <v/>
      </c>
      <c r="AI49" s="135" t="e">
        <f t="shared" ref="AI49:AI54" si="66">IF(AND(H49&lt;&gt;"",AH49&lt;&gt;""),AH49*H49,IF(L49&lt;&gt;"",AG49*L49,""))</f>
        <v>#VALUE!</v>
      </c>
      <c r="AJ49" s="135" t="str">
        <f t="shared" ref="AJ49:AJ54" si="67">IFERROR(IF(AND(AI49&lt;&gt;"",I49&lt;&gt;""),AI49/I49,IF(AND(AG49&lt;&gt;"",K49&lt;&gt;""),K49*AG49,"")),"")</f>
        <v/>
      </c>
      <c r="AK49" s="31" t="str">
        <f t="shared" ref="AK49:AK54" si="68">IFERROR(IF(B49&lt;&gt;"",AH49-Q49,""),"")</f>
        <v/>
      </c>
      <c r="AL49" s="31" t="str">
        <f t="shared" ref="AL49:AL54" si="69">IFERROR(IF(B49&lt;&gt;"",AI49-(Q49/1000),""),"")</f>
        <v/>
      </c>
      <c r="AP49" t="s">
        <v>939</v>
      </c>
    </row>
    <row r="50" spans="1:42" x14ac:dyDescent="0.25">
      <c r="A50" t="s">
        <v>25</v>
      </c>
      <c r="C50" t="s">
        <v>11</v>
      </c>
      <c r="D50" s="5" t="s">
        <v>254</v>
      </c>
      <c r="E50" s="129"/>
      <c r="F50" s="5"/>
      <c r="G50" s="5"/>
      <c r="H50" s="5" t="str">
        <f>IFERROR(VLOOKUP(E50,'Chemical data ref sheet'!$A$1:$E$163,4,FALSE),"")</f>
        <v/>
      </c>
      <c r="I50" s="5" t="str">
        <f>IFERROR(VLOOKUP(E50,'Chemical data ref sheet'!$A$1:$E$163,5,FALSE),"")</f>
        <v/>
      </c>
      <c r="J50" s="7"/>
      <c r="K50" s="7"/>
      <c r="L50" s="290">
        <v>0.69</v>
      </c>
      <c r="M50" s="7"/>
      <c r="N50" s="7"/>
      <c r="O50" s="7"/>
      <c r="P50" s="133">
        <f>SUMIFS('Product samples'!E:E, 'Product samples'!A:A, B50)</f>
        <v>0</v>
      </c>
      <c r="Q50" s="134">
        <f t="shared" si="54"/>
        <v>0</v>
      </c>
      <c r="R50" s="57">
        <f t="shared" si="0"/>
        <v>9.6443748602102457E-3</v>
      </c>
      <c r="S50" s="135">
        <f t="shared" si="1"/>
        <v>2.3171575039141135</v>
      </c>
      <c r="T50" s="132" t="str">
        <f t="shared" si="55"/>
        <v/>
      </c>
      <c r="U50" s="32">
        <f t="shared" si="56"/>
        <v>1.5988386777007382</v>
      </c>
      <c r="V50" s="135" t="str">
        <f t="shared" si="57"/>
        <v/>
      </c>
      <c r="W50" s="136" t="str">
        <f t="shared" si="58"/>
        <v/>
      </c>
      <c r="X50" s="136" t="str">
        <f t="shared" si="59"/>
        <v/>
      </c>
      <c r="Y50" s="136" t="str">
        <f t="shared" si="2"/>
        <v/>
      </c>
      <c r="Z50" s="136" t="str">
        <f t="shared" si="3"/>
        <v/>
      </c>
      <c r="AA50" s="137" t="str">
        <f t="shared" si="60"/>
        <v/>
      </c>
      <c r="AB50" s="135" t="e">
        <f t="shared" si="61"/>
        <v>#VALUE!</v>
      </c>
      <c r="AC50" s="135" t="str">
        <f t="shared" si="62"/>
        <v/>
      </c>
      <c r="AD50" s="136" t="str">
        <f t="shared" si="63"/>
        <v/>
      </c>
      <c r="AE50" s="136" t="str">
        <f t="shared" si="64"/>
        <v/>
      </c>
      <c r="AF50" s="136" t="str">
        <f t="shared" si="4"/>
        <v/>
      </c>
      <c r="AG50" s="136" t="str">
        <f t="shared" si="5"/>
        <v/>
      </c>
      <c r="AH50" s="137" t="str">
        <f t="shared" si="65"/>
        <v/>
      </c>
      <c r="AI50" s="135" t="e">
        <f t="shared" si="66"/>
        <v>#VALUE!</v>
      </c>
      <c r="AJ50" s="135" t="str">
        <f t="shared" si="67"/>
        <v/>
      </c>
      <c r="AK50" s="31" t="str">
        <f t="shared" si="68"/>
        <v/>
      </c>
      <c r="AL50" s="31" t="str">
        <f t="shared" si="69"/>
        <v/>
      </c>
    </row>
    <row r="51" spans="1:42" x14ac:dyDescent="0.25">
      <c r="A51" t="s">
        <v>25</v>
      </c>
      <c r="C51" t="s">
        <v>11</v>
      </c>
      <c r="D51" s="5" t="str">
        <f>IFERROR(VLOOKUP(E51,'Chemical data ref sheet'!$A$1:$E$163,2,FALSE),"")</f>
        <v xml:space="preserve">Ethyl acetate </v>
      </c>
      <c r="E51" s="293" t="s">
        <v>96</v>
      </c>
      <c r="F51" s="5"/>
      <c r="G51" s="5"/>
      <c r="H51" s="5">
        <f>IFERROR(VLOOKUP(E51,'Chemical data ref sheet'!$A$1:$E$163,4,FALSE),"")</f>
        <v>88.11</v>
      </c>
      <c r="I51" s="5">
        <f>IFERROR(VLOOKUP(E51,'Chemical data ref sheet'!$A$1:$E$163,5,FALSE),"")</f>
        <v>0.90200000000000002</v>
      </c>
      <c r="J51" s="7"/>
      <c r="K51" s="7"/>
      <c r="L51" s="290">
        <v>4.5599999999999996</v>
      </c>
      <c r="M51" s="7"/>
      <c r="N51" s="7"/>
      <c r="O51" s="7"/>
      <c r="P51" s="133">
        <f>SUMIFS('Product samples'!E:E, 'Product samples'!A:A, B51)</f>
        <v>0</v>
      </c>
      <c r="Q51" s="134">
        <f t="shared" si="54"/>
        <v>0</v>
      </c>
      <c r="R51" s="57">
        <f t="shared" si="0"/>
        <v>9.6443748602102457E-3</v>
      </c>
      <c r="S51" s="135">
        <f t="shared" si="1"/>
        <v>2.3171575039141135</v>
      </c>
      <c r="T51" s="132" t="str">
        <f t="shared" si="55"/>
        <v/>
      </c>
      <c r="U51" s="32">
        <f t="shared" si="56"/>
        <v>10.566238217848356</v>
      </c>
      <c r="V51" s="135">
        <f t="shared" si="57"/>
        <v>11.714233057481549</v>
      </c>
      <c r="W51" s="136" t="str">
        <f t="shared" si="58"/>
        <v/>
      </c>
      <c r="X51" s="136" t="str">
        <f t="shared" si="59"/>
        <v/>
      </c>
      <c r="Y51" s="136" t="str">
        <f t="shared" si="2"/>
        <v/>
      </c>
      <c r="Z51" s="136" t="str">
        <f t="shared" si="3"/>
        <v/>
      </c>
      <c r="AA51" s="137" t="str">
        <f t="shared" si="60"/>
        <v/>
      </c>
      <c r="AB51" s="135" t="e">
        <f t="shared" si="61"/>
        <v>#VALUE!</v>
      </c>
      <c r="AC51" s="135" t="str">
        <f t="shared" si="62"/>
        <v/>
      </c>
      <c r="AD51" s="136" t="str">
        <f t="shared" si="63"/>
        <v/>
      </c>
      <c r="AE51" s="136" t="str">
        <f t="shared" si="64"/>
        <v/>
      </c>
      <c r="AF51" s="136" t="str">
        <f t="shared" si="4"/>
        <v/>
      </c>
      <c r="AG51" s="136" t="str">
        <f t="shared" si="5"/>
        <v/>
      </c>
      <c r="AH51" s="137" t="str">
        <f t="shared" si="65"/>
        <v/>
      </c>
      <c r="AI51" s="135" t="e">
        <f t="shared" si="66"/>
        <v>#VALUE!</v>
      </c>
      <c r="AJ51" s="135" t="str">
        <f t="shared" si="67"/>
        <v/>
      </c>
      <c r="AK51" s="31" t="str">
        <f t="shared" si="68"/>
        <v/>
      </c>
      <c r="AL51" s="31" t="str">
        <f t="shared" si="69"/>
        <v/>
      </c>
      <c r="AP51" t="s">
        <v>946</v>
      </c>
    </row>
    <row r="52" spans="1:42" x14ac:dyDescent="0.25">
      <c r="A52" t="s">
        <v>25</v>
      </c>
      <c r="C52" t="s">
        <v>11</v>
      </c>
      <c r="D52" s="5" t="str">
        <f>IFERROR(VLOOKUP(E52,'Chemical data ref sheet'!$A$1:$E$163,2,FALSE),"")</f>
        <v xml:space="preserve">Ethyl acetate </v>
      </c>
      <c r="E52" s="293" t="s">
        <v>96</v>
      </c>
      <c r="F52" s="5"/>
      <c r="G52" s="5"/>
      <c r="H52" s="5">
        <f>IFERROR(VLOOKUP(E52,'Chemical data ref sheet'!$A$1:$E$163,4,FALSE),"")</f>
        <v>88.11</v>
      </c>
      <c r="I52" s="5">
        <f>IFERROR(VLOOKUP(E52,'Chemical data ref sheet'!$A$1:$E$163,5,FALSE),"")</f>
        <v>0.90200000000000002</v>
      </c>
      <c r="J52" s="7"/>
      <c r="K52" s="7"/>
      <c r="L52" s="290">
        <v>4.5599999999999996</v>
      </c>
      <c r="M52" s="7"/>
      <c r="N52" s="7"/>
      <c r="O52" s="7"/>
      <c r="P52" s="133">
        <f>SUMIFS('Product samples'!E:E, 'Product samples'!A:A, B52)</f>
        <v>0</v>
      </c>
      <c r="Q52" s="134">
        <f t="shared" si="54"/>
        <v>0</v>
      </c>
      <c r="R52" s="57">
        <f t="shared" si="0"/>
        <v>9.6443748602102457E-3</v>
      </c>
      <c r="S52" s="135">
        <f t="shared" si="1"/>
        <v>2.3171575039141135</v>
      </c>
      <c r="T52" s="132" t="str">
        <f t="shared" si="55"/>
        <v/>
      </c>
      <c r="U52" s="32">
        <f t="shared" si="56"/>
        <v>10.566238217848356</v>
      </c>
      <c r="V52" s="135">
        <f t="shared" si="57"/>
        <v>11.714233057481549</v>
      </c>
      <c r="W52" s="136" t="str">
        <f t="shared" si="58"/>
        <v/>
      </c>
      <c r="X52" s="136" t="str">
        <f t="shared" si="59"/>
        <v/>
      </c>
      <c r="Y52" s="136" t="str">
        <f t="shared" si="2"/>
        <v/>
      </c>
      <c r="Z52" s="136" t="str">
        <f t="shared" si="3"/>
        <v/>
      </c>
      <c r="AA52" s="137" t="str">
        <f t="shared" si="60"/>
        <v/>
      </c>
      <c r="AB52" s="135" t="e">
        <f t="shared" si="61"/>
        <v>#VALUE!</v>
      </c>
      <c r="AC52" s="135" t="str">
        <f t="shared" si="62"/>
        <v/>
      </c>
      <c r="AD52" s="136" t="str">
        <f t="shared" si="63"/>
        <v/>
      </c>
      <c r="AE52" s="136" t="str">
        <f t="shared" si="64"/>
        <v/>
      </c>
      <c r="AF52" s="136" t="str">
        <f t="shared" si="4"/>
        <v/>
      </c>
      <c r="AG52" s="136" t="str">
        <f t="shared" si="5"/>
        <v/>
      </c>
      <c r="AH52" s="137" t="str">
        <f t="shared" si="65"/>
        <v/>
      </c>
      <c r="AI52" s="135" t="e">
        <f t="shared" si="66"/>
        <v>#VALUE!</v>
      </c>
      <c r="AJ52" s="135" t="str">
        <f t="shared" si="67"/>
        <v/>
      </c>
      <c r="AK52" s="31" t="str">
        <f t="shared" si="68"/>
        <v/>
      </c>
      <c r="AL52" s="31" t="str">
        <f t="shared" si="69"/>
        <v/>
      </c>
      <c r="AP52" t="s">
        <v>947</v>
      </c>
    </row>
    <row r="53" spans="1:42" x14ac:dyDescent="0.25">
      <c r="A53" t="s">
        <v>25</v>
      </c>
      <c r="C53" t="s">
        <v>11</v>
      </c>
      <c r="D53" s="5" t="str">
        <f>IFERROR(VLOOKUP(E53,'Chemical data ref sheet'!$A$1:$E$163,2,FALSE),"")</f>
        <v xml:space="preserve">Ethyl acetate </v>
      </c>
      <c r="E53" s="293" t="s">
        <v>96</v>
      </c>
      <c r="F53" s="5"/>
      <c r="G53" s="5"/>
      <c r="H53" s="5">
        <f>IFERROR(VLOOKUP(E53,'Chemical data ref sheet'!$A$1:$E$163,4,FALSE),"")</f>
        <v>88.11</v>
      </c>
      <c r="I53" s="5">
        <f>IFERROR(VLOOKUP(E53,'Chemical data ref sheet'!$A$1:$E$163,5,FALSE),"")</f>
        <v>0.90200000000000002</v>
      </c>
      <c r="J53" s="7"/>
      <c r="K53" s="7"/>
      <c r="L53" s="290">
        <v>4.5599999999999996</v>
      </c>
      <c r="M53" s="7"/>
      <c r="N53" s="7"/>
      <c r="O53" s="7"/>
      <c r="P53" s="133">
        <f>SUMIFS('Product samples'!E:E, 'Product samples'!A:A, B53)</f>
        <v>0</v>
      </c>
      <c r="Q53" s="134">
        <f t="shared" si="54"/>
        <v>0</v>
      </c>
      <c r="R53" s="57">
        <f t="shared" si="0"/>
        <v>9.6443748602102457E-3</v>
      </c>
      <c r="S53" s="135">
        <f t="shared" si="1"/>
        <v>2.3171575039141135</v>
      </c>
      <c r="T53" s="132" t="str">
        <f t="shared" si="55"/>
        <v/>
      </c>
      <c r="U53" s="32">
        <f t="shared" si="56"/>
        <v>10.566238217848356</v>
      </c>
      <c r="V53" s="135">
        <f t="shared" si="57"/>
        <v>11.714233057481549</v>
      </c>
      <c r="W53" s="136" t="str">
        <f t="shared" si="58"/>
        <v/>
      </c>
      <c r="X53" s="136" t="str">
        <f t="shared" si="59"/>
        <v/>
      </c>
      <c r="Y53" s="136" t="str">
        <f t="shared" si="2"/>
        <v/>
      </c>
      <c r="Z53" s="136" t="str">
        <f t="shared" si="3"/>
        <v/>
      </c>
      <c r="AA53" s="137" t="str">
        <f t="shared" si="60"/>
        <v/>
      </c>
      <c r="AB53" s="135" t="e">
        <f t="shared" si="61"/>
        <v>#VALUE!</v>
      </c>
      <c r="AC53" s="135" t="str">
        <f t="shared" si="62"/>
        <v/>
      </c>
      <c r="AD53" s="136" t="str">
        <f t="shared" si="63"/>
        <v/>
      </c>
      <c r="AE53" s="136" t="str">
        <f t="shared" si="64"/>
        <v/>
      </c>
      <c r="AF53" s="136" t="str">
        <f t="shared" si="4"/>
        <v/>
      </c>
      <c r="AG53" s="136" t="str">
        <f t="shared" si="5"/>
        <v/>
      </c>
      <c r="AH53" s="137" t="str">
        <f t="shared" si="65"/>
        <v/>
      </c>
      <c r="AI53" s="135" t="e">
        <f t="shared" si="66"/>
        <v>#VALUE!</v>
      </c>
      <c r="AJ53" s="135" t="str">
        <f t="shared" si="67"/>
        <v/>
      </c>
      <c r="AK53" s="31" t="str">
        <f t="shared" si="68"/>
        <v/>
      </c>
      <c r="AL53" s="31" t="str">
        <f t="shared" si="69"/>
        <v/>
      </c>
      <c r="AP53" t="s">
        <v>948</v>
      </c>
    </row>
    <row r="54" spans="1:42" x14ac:dyDescent="0.25">
      <c r="A54" t="s">
        <v>25</v>
      </c>
      <c r="C54" t="s">
        <v>11</v>
      </c>
      <c r="D54" s="5" t="str">
        <f>IFERROR(VLOOKUP(E54,'Chemical data ref sheet'!$A$1:$E$163,2,FALSE),"")</f>
        <v>2-propanol</v>
      </c>
      <c r="E54" s="293" t="s">
        <v>77</v>
      </c>
      <c r="F54" s="5"/>
      <c r="G54" s="5">
        <v>4.5</v>
      </c>
      <c r="H54" s="5">
        <f>IFERROR(VLOOKUP(E54,'Chemical data ref sheet'!$A$1:$E$163,4,FALSE),"")</f>
        <v>60.1</v>
      </c>
      <c r="I54" s="5">
        <f>IFERROR(VLOOKUP(E54,'Chemical data ref sheet'!$A$1:$E$163,5,FALSE),"")</f>
        <v>0.78600000000000003</v>
      </c>
      <c r="J54" s="7"/>
      <c r="K54" s="7"/>
      <c r="L54" s="290">
        <v>1</v>
      </c>
      <c r="M54" s="7"/>
      <c r="N54" s="7"/>
      <c r="O54" s="7"/>
      <c r="P54" s="133">
        <f>SUMIFS('Product samples'!E:E, 'Product samples'!A:A, B54)</f>
        <v>0</v>
      </c>
      <c r="Q54" s="134">
        <f t="shared" si="54"/>
        <v>0</v>
      </c>
      <c r="R54" s="57">
        <f t="shared" si="0"/>
        <v>1.8729709481395157E-2</v>
      </c>
      <c r="S54" s="135">
        <f t="shared" si="1"/>
        <v>4.5</v>
      </c>
      <c r="T54" s="132" t="str">
        <f t="shared" si="55"/>
        <v/>
      </c>
      <c r="U54" s="32">
        <f t="shared" si="56"/>
        <v>4.5</v>
      </c>
      <c r="V54" s="135">
        <f t="shared" si="57"/>
        <v>5.7251908396946565</v>
      </c>
      <c r="W54" s="136" t="str">
        <f t="shared" si="58"/>
        <v/>
      </c>
      <c r="X54" s="136" t="str">
        <f t="shared" si="59"/>
        <v/>
      </c>
      <c r="Y54" s="136" t="str">
        <f t="shared" si="2"/>
        <v/>
      </c>
      <c r="Z54" s="136" t="str">
        <f t="shared" si="3"/>
        <v/>
      </c>
      <c r="AA54" s="137" t="str">
        <f t="shared" si="60"/>
        <v/>
      </c>
      <c r="AB54" s="135" t="e">
        <f t="shared" si="61"/>
        <v>#VALUE!</v>
      </c>
      <c r="AC54" s="135" t="str">
        <f t="shared" si="62"/>
        <v/>
      </c>
      <c r="AD54" s="136" t="str">
        <f t="shared" si="63"/>
        <v/>
      </c>
      <c r="AE54" s="136" t="str">
        <f t="shared" si="64"/>
        <v/>
      </c>
      <c r="AF54" s="136" t="str">
        <f t="shared" si="4"/>
        <v/>
      </c>
      <c r="AG54" s="136" t="str">
        <f t="shared" si="5"/>
        <v/>
      </c>
      <c r="AH54" s="137" t="str">
        <f t="shared" si="65"/>
        <v/>
      </c>
      <c r="AI54" s="135" t="e">
        <f t="shared" si="66"/>
        <v>#VALUE!</v>
      </c>
      <c r="AJ54" s="135" t="str">
        <f t="shared" si="67"/>
        <v/>
      </c>
      <c r="AK54" s="31" t="str">
        <f t="shared" si="68"/>
        <v/>
      </c>
      <c r="AL54" s="31" t="str">
        <f t="shared" si="69"/>
        <v/>
      </c>
      <c r="AP54" t="s">
        <v>930</v>
      </c>
    </row>
    <row r="55" spans="1:42" x14ac:dyDescent="0.25">
      <c r="A55" t="s">
        <v>25</v>
      </c>
      <c r="C55" t="s">
        <v>11</v>
      </c>
      <c r="D55" s="5" t="str">
        <f>IFERROR(VLOOKUP(E55,'Chemical data ref sheet'!$A$1:$E$163,2,FALSE),"")</f>
        <v>Methanesulfonic acid</v>
      </c>
      <c r="E55" s="293" t="s">
        <v>138</v>
      </c>
      <c r="F55" s="5"/>
      <c r="G55" s="5"/>
      <c r="H55" s="5">
        <f>IFERROR(VLOOKUP(E55,'Chemical data ref sheet'!$A$1:$E$163,4,FALSE),"")</f>
        <v>96.11</v>
      </c>
      <c r="I55" s="5">
        <f>IFERROR(VLOOKUP(E55,'Chemical data ref sheet'!$A$1:$E$163,5,FALSE),"")</f>
        <v>1.4810000000000001</v>
      </c>
      <c r="J55" s="7"/>
      <c r="K55" s="7"/>
      <c r="L55" s="290">
        <v>0.5</v>
      </c>
      <c r="M55" s="7"/>
      <c r="N55" s="7"/>
      <c r="O55" s="7"/>
      <c r="P55" s="133">
        <f>SUMIFS('Product samples'!E:E, 'Product samples'!A:A, B55)</f>
        <v>0</v>
      </c>
      <c r="Q55" s="134">
        <f t="shared" si="54"/>
        <v>0</v>
      </c>
      <c r="R55" s="57">
        <f t="shared" si="0"/>
        <v>9.6443748602102457E-3</v>
      </c>
      <c r="S55" s="135">
        <f t="shared" si="1"/>
        <v>2.3171575039141135</v>
      </c>
      <c r="T55" s="132" t="str">
        <f t="shared" si="55"/>
        <v/>
      </c>
      <c r="U55" s="32">
        <f t="shared" si="56"/>
        <v>1.1585787519570567</v>
      </c>
      <c r="V55" s="135">
        <f t="shared" si="57"/>
        <v>0.78229490341462304</v>
      </c>
      <c r="W55" s="136" t="str">
        <f>IFERROR(IF(B55&lt;&gt;"",T55-Q55,""),"")</f>
        <v/>
      </c>
      <c r="X55" s="136" t="str">
        <f>IFERROR(IF(B55&lt;&gt;"",U55-(P55/1000),""),"")</f>
        <v/>
      </c>
      <c r="Y55" s="136" t="str">
        <f t="shared" si="2"/>
        <v/>
      </c>
      <c r="Z55" s="136" t="str">
        <f t="shared" si="3"/>
        <v/>
      </c>
      <c r="AA55" s="137" t="str">
        <f>IF(AM55&lt;&gt;"",AM55/H55,IF(AND(C55=D55,C55&lt;&gt;""),Y55,IF(M55&lt;&gt;"",M55*Y55,IF(J55&lt;&gt;"",J55*Y55,""))))</f>
        <v/>
      </c>
      <c r="AB55" s="135" t="e">
        <f>IF(AND(H55&lt;&gt;"",AA55&lt;&gt;""),AA55*H55,IF(L55&lt;&gt;"",Z55*L55,""))</f>
        <v>#VALUE!</v>
      </c>
      <c r="AC55" s="135" t="str">
        <f>IFERROR(IF(AND(AB55&lt;&gt;"",I55&lt;&gt;""),AB55/I55,IF(AND(Z55&lt;&gt;"",K55&lt;&gt;""),K55*Z55,"")),"")</f>
        <v/>
      </c>
      <c r="AD55" s="136" t="str">
        <f>IFERROR(IF(B55&lt;&gt;"",AA55-Q55,""),"")</f>
        <v/>
      </c>
      <c r="AE55" s="136" t="str">
        <f>IFERROR(IF(B55&lt;&gt;"",AB55-(P55/1000),""),"")</f>
        <v/>
      </c>
      <c r="AF55" s="136" t="str">
        <f t="shared" si="4"/>
        <v/>
      </c>
      <c r="AG55" s="136" t="str">
        <f t="shared" si="5"/>
        <v/>
      </c>
      <c r="AH55" s="137" t="str">
        <f>IF(AM55&lt;&gt;"",AM55/H55,IF(AND(C55=D55,C55&lt;&gt;""),AF55,IF(N55&lt;&gt;"",N55*AF55,IF(J55&lt;&gt;"",J55*AF55,""))))</f>
        <v/>
      </c>
      <c r="AI55" s="135" t="e">
        <f>IF(AND(H55&lt;&gt;"",AH55&lt;&gt;""),AH55*H55,IF(L55&lt;&gt;"",AG55*L55,""))</f>
        <v>#VALUE!</v>
      </c>
      <c r="AJ55" s="135" t="str">
        <f>IFERROR(IF(AND(AI55&lt;&gt;"",I55&lt;&gt;""),AI55/I55,IF(AND(AG55&lt;&gt;"",K55&lt;&gt;""),K55*AG55,"")),"")</f>
        <v/>
      </c>
      <c r="AK55" s="31" t="str">
        <f>IFERROR(IF(B55&lt;&gt;"",AH55-Q55,""),"")</f>
        <v/>
      </c>
      <c r="AL55" s="31" t="str">
        <f>IFERROR(IF(B55&lt;&gt;"",AI55-(Q55/1000),""),"")</f>
        <v/>
      </c>
      <c r="AP55" t="s">
        <v>885</v>
      </c>
    </row>
    <row r="56" spans="1:42" x14ac:dyDescent="0.25">
      <c r="A56" t="s">
        <v>25</v>
      </c>
      <c r="C56" t="s">
        <v>11</v>
      </c>
      <c r="D56" s="5" t="s">
        <v>248</v>
      </c>
      <c r="E56" s="16"/>
      <c r="F56" s="5" t="str">
        <f>IFERROR(VLOOKUP(E56,'Chemical data ref sheet'!$A$1:$E$163,3,FALSE),"")</f>
        <v/>
      </c>
      <c r="G56" s="5"/>
      <c r="H56" s="5" t="str">
        <f>IFERROR(VLOOKUP(E56,'Chemical data ref sheet'!$A$1:$E$163,4,FALSE),"")</f>
        <v/>
      </c>
      <c r="I56" s="5" t="str">
        <f>IFERROR(VLOOKUP(E56,'Chemical data ref sheet'!$A$1:$E$163,5,FALSE),"")</f>
        <v/>
      </c>
      <c r="J56" s="7"/>
      <c r="K56" s="7"/>
      <c r="L56" s="290">
        <v>0.5</v>
      </c>
      <c r="M56" s="7"/>
      <c r="N56" s="7"/>
      <c r="O56" s="7"/>
      <c r="P56" s="133">
        <f>SUMIFS('Product samples'!E:E, 'Product samples'!A:A, B56)</f>
        <v>0</v>
      </c>
      <c r="Q56" s="134">
        <f t="shared" si="54"/>
        <v>0</v>
      </c>
      <c r="R56" s="57">
        <f t="shared" si="0"/>
        <v>9.6443748602102457E-3</v>
      </c>
      <c r="S56" s="135">
        <f t="shared" si="1"/>
        <v>2.3171575039141135</v>
      </c>
      <c r="T56" s="132" t="str">
        <f t="shared" si="55"/>
        <v/>
      </c>
      <c r="U56" s="32">
        <f t="shared" si="56"/>
        <v>1.1585787519570567</v>
      </c>
      <c r="V56" s="135" t="str">
        <f t="shared" si="57"/>
        <v/>
      </c>
      <c r="W56" s="136" t="str">
        <f>IFERROR(IF(B56&lt;&gt;"",T56-Q56,""),"")</f>
        <v/>
      </c>
      <c r="X56" s="136" t="str">
        <f>IFERROR(IF(B56&lt;&gt;"",U56-(P56/1000),""),"")</f>
        <v/>
      </c>
      <c r="Y56" s="136" t="str">
        <f t="shared" si="2"/>
        <v/>
      </c>
      <c r="Z56" s="136" t="str">
        <f t="shared" si="3"/>
        <v/>
      </c>
      <c r="AA56" s="137" t="str">
        <f>IF(AM56&lt;&gt;"",AM56/H56,IF(AND(C56=D56,C56&lt;&gt;""),Y56,IF(M56&lt;&gt;"",M56*Y56,IF(J56&lt;&gt;"",J56*Y56,""))))</f>
        <v/>
      </c>
      <c r="AB56" s="135" t="e">
        <f>IF(AND(H56&lt;&gt;"",AA56&lt;&gt;""),AA56*H56,IF(L56&lt;&gt;"",Z56*L56,""))</f>
        <v>#VALUE!</v>
      </c>
      <c r="AC56" s="135" t="str">
        <f>IFERROR(IF(AND(AB56&lt;&gt;"",I56&lt;&gt;""),AB56/I56,IF(AND(Z56&lt;&gt;"",K56&lt;&gt;""),K56*Z56,"")),"")</f>
        <v/>
      </c>
      <c r="AD56" s="136" t="str">
        <f>IFERROR(IF(B56&lt;&gt;"",AA56-Q56,""),"")</f>
        <v/>
      </c>
      <c r="AE56" s="136" t="str">
        <f>IFERROR(IF(B56&lt;&gt;"",AB56-(P56/1000),""),"")</f>
        <v/>
      </c>
      <c r="AF56" s="136" t="str">
        <f t="shared" si="4"/>
        <v/>
      </c>
      <c r="AG56" s="136" t="str">
        <f t="shared" si="5"/>
        <v/>
      </c>
      <c r="AH56" s="137" t="str">
        <f>IF(AM56&lt;&gt;"",AM56/H56,IF(AND(C56=D56,C56&lt;&gt;""),AF56,IF(N56&lt;&gt;"",N56*AF56,IF(J56&lt;&gt;"",J56*AF56,""))))</f>
        <v/>
      </c>
      <c r="AI56" s="135" t="e">
        <f>IF(AND(H56&lt;&gt;"",AH56&lt;&gt;""),AH56*H56,IF(L56&lt;&gt;"",AG56*L56,""))</f>
        <v>#VALUE!</v>
      </c>
      <c r="AJ56" s="135" t="str">
        <f>IFERROR(IF(AND(AI56&lt;&gt;"",I56&lt;&gt;""),AI56/I56,IF(AND(AG56&lt;&gt;"",K56&lt;&gt;""),K56*AG56,"")),"")</f>
        <v/>
      </c>
      <c r="AK56" s="31" t="str">
        <f>IFERROR(IF(B56&lt;&gt;"",AH56-Q56,""),"")</f>
        <v/>
      </c>
      <c r="AL56" s="31" t="str">
        <f>IFERROR(IF(B56&lt;&gt;"",AI56-(Q56/1000),""),"")</f>
        <v/>
      </c>
      <c r="AP56" t="s">
        <v>940</v>
      </c>
    </row>
    <row r="57" spans="1:42" x14ac:dyDescent="0.25">
      <c r="A57" t="s">
        <v>25</v>
      </c>
      <c r="B57" t="s">
        <v>26</v>
      </c>
      <c r="C57" t="s">
        <v>11</v>
      </c>
      <c r="D57" s="5" t="s">
        <v>26</v>
      </c>
      <c r="E57" s="16"/>
      <c r="F57" s="5" t="str">
        <f>IFERROR(VLOOKUP(E57,'Chemical data ref sheet'!$A$1:$E$163,3,FALSE),"")</f>
        <v/>
      </c>
      <c r="G57" s="5"/>
      <c r="H57" s="5">
        <v>244.26</v>
      </c>
      <c r="I57" s="5" t="str">
        <f>IFERROR(VLOOKUP(E57,'Chemical data ref sheet'!$A$1:$E$163,5,FALSE),"")</f>
        <v/>
      </c>
      <c r="J57" s="7"/>
      <c r="K57" s="7"/>
      <c r="L57" s="290"/>
      <c r="M57" s="7"/>
      <c r="N57" s="7"/>
      <c r="O57" s="7">
        <v>0.7</v>
      </c>
      <c r="P57" s="133">
        <f>SUMIFS('Product samples'!E:E, 'Product samples'!A:A, B57)</f>
        <v>0</v>
      </c>
      <c r="Q57" s="134">
        <f t="shared" si="6"/>
        <v>0</v>
      </c>
      <c r="R57" s="57">
        <f t="shared" si="0"/>
        <v>9.6443748602102457E-3</v>
      </c>
      <c r="S57" s="135">
        <f t="shared" si="1"/>
        <v>2.3171575039141135</v>
      </c>
      <c r="T57" s="132">
        <f t="shared" si="7"/>
        <v>6.7510624021471718E-3</v>
      </c>
      <c r="U57" s="32">
        <f t="shared" si="8"/>
        <v>1.6490145023484681</v>
      </c>
      <c r="V57" s="135" t="str">
        <f t="shared" si="9"/>
        <v/>
      </c>
      <c r="W57" s="136">
        <f t="shared" si="10"/>
        <v>6.7510624021471718E-3</v>
      </c>
      <c r="X57" s="136">
        <f t="shared" si="11"/>
        <v>1.6490145023484681</v>
      </c>
      <c r="Y57" s="136" t="str">
        <f t="shared" si="2"/>
        <v/>
      </c>
      <c r="Z57" s="136" t="str">
        <f t="shared" si="3"/>
        <v/>
      </c>
      <c r="AA57" s="137" t="str">
        <f t="shared" si="12"/>
        <v/>
      </c>
      <c r="AB57" s="135" t="str">
        <f t="shared" si="13"/>
        <v/>
      </c>
      <c r="AC57" s="135" t="str">
        <f t="shared" si="14"/>
        <v/>
      </c>
      <c r="AD57" s="136" t="str">
        <f t="shared" si="15"/>
        <v/>
      </c>
      <c r="AE57" s="136" t="str">
        <f t="shared" si="16"/>
        <v/>
      </c>
      <c r="AF57" s="136" t="str">
        <f t="shared" si="4"/>
        <v/>
      </c>
      <c r="AG57" s="136" t="str">
        <f t="shared" si="5"/>
        <v/>
      </c>
      <c r="AH57" s="137" t="str">
        <f t="shared" si="17"/>
        <v/>
      </c>
      <c r="AI57" s="135" t="str">
        <f t="shared" si="18"/>
        <v/>
      </c>
      <c r="AJ57" s="135" t="str">
        <f t="shared" si="19"/>
        <v/>
      </c>
      <c r="AK57" s="31" t="str">
        <f t="shared" si="20"/>
        <v/>
      </c>
      <c r="AL57" s="31" t="str">
        <f t="shared" si="21"/>
        <v/>
      </c>
    </row>
    <row r="58" spans="1:42" ht="58.5" customHeight="1" x14ac:dyDescent="0.35">
      <c r="C58" s="125"/>
      <c r="D58" s="294" t="s">
        <v>941</v>
      </c>
      <c r="E58" s="16"/>
      <c r="F58" s="5" t="str">
        <f>IFERROR(VLOOKUP(E58,'Chemical data ref sheet'!$A$1:$E$163,3,FALSE),"")</f>
        <v/>
      </c>
      <c r="G58" s="5"/>
      <c r="H58" s="5" t="str">
        <f>IFERROR(VLOOKUP(E58,'Chemical data ref sheet'!$A$1:$E$163,4,FALSE),"")</f>
        <v/>
      </c>
      <c r="I58" s="5" t="str">
        <f>IFERROR(VLOOKUP(E58,'Chemical data ref sheet'!$A$1:$E$163,5,FALSE),"")</f>
        <v/>
      </c>
      <c r="J58" s="7"/>
      <c r="K58" s="7"/>
      <c r="L58" s="290"/>
      <c r="M58" s="7"/>
      <c r="N58" s="7"/>
      <c r="O58" s="7"/>
      <c r="P58" s="133">
        <f>SUMIFS('Product samples'!E:E, 'Product samples'!A:A, B58)</f>
        <v>0</v>
      </c>
      <c r="Q58" s="134">
        <f t="shared" si="6"/>
        <v>0</v>
      </c>
      <c r="R58" s="57" t="str">
        <f t="shared" si="0"/>
        <v/>
      </c>
      <c r="S58" s="135" t="str">
        <f t="shared" si="1"/>
        <v/>
      </c>
      <c r="T58" s="132" t="str">
        <f t="shared" si="7"/>
        <v/>
      </c>
      <c r="U58" s="32" t="str">
        <f t="shared" si="8"/>
        <v/>
      </c>
      <c r="V58" s="135" t="str">
        <f t="shared" si="9"/>
        <v/>
      </c>
      <c r="W58" s="136" t="str">
        <f t="shared" si="10"/>
        <v/>
      </c>
      <c r="X58" s="136" t="str">
        <f t="shared" si="11"/>
        <v/>
      </c>
      <c r="Y58" s="136" t="str">
        <f t="shared" si="2"/>
        <v/>
      </c>
      <c r="Z58" s="136" t="str">
        <f t="shared" si="3"/>
        <v/>
      </c>
      <c r="AA58" s="137" t="str">
        <f t="shared" si="12"/>
        <v/>
      </c>
      <c r="AB58" s="135" t="str">
        <f t="shared" si="13"/>
        <v/>
      </c>
      <c r="AC58" s="135" t="str">
        <f t="shared" si="14"/>
        <v/>
      </c>
      <c r="AD58" s="136" t="str">
        <f t="shared" si="15"/>
        <v/>
      </c>
      <c r="AE58" s="136" t="str">
        <f t="shared" si="16"/>
        <v/>
      </c>
      <c r="AF58" s="136" t="str">
        <f t="shared" si="4"/>
        <v/>
      </c>
      <c r="AG58" s="136" t="str">
        <f t="shared" si="5"/>
        <v/>
      </c>
      <c r="AH58" s="137" t="str">
        <f t="shared" si="17"/>
        <v/>
      </c>
      <c r="AI58" s="135" t="str">
        <f t="shared" si="18"/>
        <v/>
      </c>
      <c r="AJ58" s="135" t="str">
        <f t="shared" si="19"/>
        <v/>
      </c>
      <c r="AK58" s="31" t="str">
        <f t="shared" si="20"/>
        <v/>
      </c>
      <c r="AL58" s="31" t="str">
        <f t="shared" si="21"/>
        <v/>
      </c>
    </row>
    <row r="59" spans="1:42" x14ac:dyDescent="0.25">
      <c r="A59" t="s">
        <v>493</v>
      </c>
      <c r="C59" t="s">
        <v>26</v>
      </c>
      <c r="D59" s="5" t="s">
        <v>253</v>
      </c>
      <c r="E59" s="16"/>
      <c r="F59" s="5" t="str">
        <f>IFERROR(VLOOKUP(E59,'Chemical data ref sheet'!$A$1:$E$163,3,FALSE),"")</f>
        <v/>
      </c>
      <c r="G59" s="5"/>
      <c r="H59" s="5">
        <v>96.1</v>
      </c>
      <c r="I59" s="5">
        <v>1.48</v>
      </c>
      <c r="J59" s="7"/>
      <c r="K59" s="7"/>
      <c r="L59" s="290">
        <v>0.5</v>
      </c>
      <c r="M59" s="7"/>
      <c r="N59" s="7"/>
      <c r="O59" s="7"/>
      <c r="P59" s="133">
        <f>SUMIFS('Product samples'!E:E, 'Product samples'!A:A, B59)</f>
        <v>0</v>
      </c>
      <c r="Q59" s="134">
        <f t="shared" si="6"/>
        <v>0</v>
      </c>
      <c r="R59" s="57">
        <f t="shared" si="0"/>
        <v>6.7510624021471718E-3</v>
      </c>
      <c r="S59" s="135">
        <f t="shared" si="1"/>
        <v>1.6490145023484681</v>
      </c>
      <c r="T59" s="132" t="str">
        <f t="shared" si="7"/>
        <v/>
      </c>
      <c r="U59" s="32">
        <f t="shared" si="8"/>
        <v>0.82450725117423407</v>
      </c>
      <c r="V59" s="135">
        <f t="shared" si="9"/>
        <v>0.5570994940366446</v>
      </c>
      <c r="W59" s="136" t="str">
        <f t="shared" si="10"/>
        <v/>
      </c>
      <c r="X59" s="136" t="str">
        <f t="shared" si="11"/>
        <v/>
      </c>
      <c r="Y59" s="136" t="str">
        <f t="shared" si="2"/>
        <v/>
      </c>
      <c r="Z59" s="136" t="str">
        <f t="shared" si="3"/>
        <v/>
      </c>
      <c r="AA59" s="137" t="str">
        <f t="shared" si="12"/>
        <v/>
      </c>
      <c r="AB59" s="135" t="e">
        <f t="shared" si="13"/>
        <v>#VALUE!</v>
      </c>
      <c r="AC59" s="135" t="str">
        <f t="shared" si="14"/>
        <v/>
      </c>
      <c r="AD59" s="136" t="str">
        <f t="shared" si="15"/>
        <v/>
      </c>
      <c r="AE59" s="136" t="str">
        <f t="shared" si="16"/>
        <v/>
      </c>
      <c r="AF59" s="136" t="str">
        <f t="shared" si="4"/>
        <v/>
      </c>
      <c r="AG59" s="136" t="str">
        <f t="shared" si="5"/>
        <v/>
      </c>
      <c r="AH59" s="137" t="str">
        <f t="shared" si="17"/>
        <v/>
      </c>
      <c r="AI59" s="135" t="e">
        <f t="shared" si="18"/>
        <v>#VALUE!</v>
      </c>
      <c r="AJ59" s="135" t="str">
        <f t="shared" si="19"/>
        <v/>
      </c>
      <c r="AK59" s="31" t="str">
        <f t="shared" si="20"/>
        <v/>
      </c>
      <c r="AL59" s="31" t="str">
        <f t="shared" si="21"/>
        <v/>
      </c>
    </row>
    <row r="60" spans="1:42" x14ac:dyDescent="0.25">
      <c r="A60" t="s">
        <v>493</v>
      </c>
      <c r="C60" t="s">
        <v>26</v>
      </c>
      <c r="D60" s="5" t="s">
        <v>248</v>
      </c>
      <c r="E60" s="16"/>
      <c r="F60" s="5" t="str">
        <f>IFERROR(VLOOKUP(E60,'Chemical data ref sheet'!$A$1:$E$163,3,FALSE),"")</f>
        <v/>
      </c>
      <c r="G60" s="5"/>
      <c r="H60" s="5">
        <v>18</v>
      </c>
      <c r="I60" s="5">
        <v>1</v>
      </c>
      <c r="J60" s="7"/>
      <c r="K60" s="7"/>
      <c r="L60" s="290">
        <v>0.5</v>
      </c>
      <c r="M60" s="7"/>
      <c r="N60" s="7"/>
      <c r="O60" s="7"/>
      <c r="P60" s="133">
        <f>SUMIFS('Product samples'!E:E, 'Product samples'!A:A, B60)</f>
        <v>0</v>
      </c>
      <c r="Q60" s="134">
        <f>IFERROR((P60/1000)/H60,0)</f>
        <v>0</v>
      </c>
      <c r="R60" s="57">
        <f t="shared" si="0"/>
        <v>6.7510624021471718E-3</v>
      </c>
      <c r="S60" s="135">
        <f t="shared" si="1"/>
        <v>1.6490145023484681</v>
      </c>
      <c r="T60" s="132" t="str">
        <f>IF(AM60&lt;&gt;"",AM60/H60,IF(AND(C60=D60,C60&lt;&gt;""),R60,IF(O60&lt;&gt;"",O60*R60,IF(J60&lt;&gt;"",J60*R60,""))))</f>
        <v/>
      </c>
      <c r="U60" s="32">
        <f>IF(AND(H60&lt;&gt;"",T60&lt;&gt;""),T60*H60,IF(L60&lt;&gt;"",S60*L60,""))</f>
        <v>0.82450725117423407</v>
      </c>
      <c r="V60" s="135">
        <f>IFERROR(IF(AND(U60&lt;&gt;"",I60&lt;&gt;""),U60/I60,IF(AND(S60&lt;&gt;"",K60&lt;&gt;""),K60*S60,"")),"")</f>
        <v>0.82450725117423407</v>
      </c>
      <c r="W60" s="136" t="str">
        <f>IFERROR(IF(B60&lt;&gt;"",T60-Q60,""),"")</f>
        <v/>
      </c>
      <c r="X60" s="136" t="str">
        <f>IFERROR(IF(B60&lt;&gt;"",U60-(P60/1000),""),"")</f>
        <v/>
      </c>
      <c r="Y60" s="136" t="str">
        <f t="shared" si="2"/>
        <v/>
      </c>
      <c r="Z60" s="136" t="str">
        <f t="shared" si="3"/>
        <v/>
      </c>
      <c r="AA60" s="137" t="str">
        <f>IF(AM60&lt;&gt;"",AM60/H60,IF(AND(C60=D60,C60&lt;&gt;""),Y60,IF(M60&lt;&gt;"",M60*Y60,IF(J60&lt;&gt;"",J60*Y60,""))))</f>
        <v/>
      </c>
      <c r="AB60" s="135" t="e">
        <f>IF(AND(H60&lt;&gt;"",AA60&lt;&gt;""),AA60*H60,IF(L60&lt;&gt;"",Z60*L60,""))</f>
        <v>#VALUE!</v>
      </c>
      <c r="AC60" s="135" t="str">
        <f>IFERROR(IF(AND(AB60&lt;&gt;"",I60&lt;&gt;""),AB60/I60,IF(AND(Z60&lt;&gt;"",K60&lt;&gt;""),K60*Z60,"")),"")</f>
        <v/>
      </c>
      <c r="AD60" s="136" t="str">
        <f>IFERROR(IF(B60&lt;&gt;"",AA60-Q60,""),"")</f>
        <v/>
      </c>
      <c r="AE60" s="136" t="str">
        <f>IFERROR(IF(B60&lt;&gt;"",AB60-(P60/1000),""),"")</f>
        <v/>
      </c>
      <c r="AF60" s="136" t="str">
        <f t="shared" si="4"/>
        <v/>
      </c>
      <c r="AG60" s="136" t="str">
        <f t="shared" si="5"/>
        <v/>
      </c>
      <c r="AH60" s="137" t="str">
        <f>IF(AM60&lt;&gt;"",AM60/H60,IF(AND(C60=D60,C60&lt;&gt;""),AF60,IF(N60&lt;&gt;"",N60*AF60,IF(J60&lt;&gt;"",J60*AF60,""))))</f>
        <v/>
      </c>
      <c r="AI60" s="135" t="e">
        <f>IF(AND(H60&lt;&gt;"",AH60&lt;&gt;""),AH60*H60,IF(L60&lt;&gt;"",AG60*L60,""))</f>
        <v>#VALUE!</v>
      </c>
      <c r="AJ60" s="135" t="str">
        <f>IFERROR(IF(AND(AI60&lt;&gt;"",I60&lt;&gt;""),AI60/I60,IF(AND(AG60&lt;&gt;"",K60&lt;&gt;""),K60*AG60,"")),"")</f>
        <v/>
      </c>
      <c r="AK60" s="31" t="str">
        <f>IFERROR(IF(B60&lt;&gt;"",AH60-Q60,""),"")</f>
        <v/>
      </c>
      <c r="AL60" s="31" t="str">
        <f>IFERROR(IF(B60&lt;&gt;"",AI60-(Q60/1000),""),"")</f>
        <v/>
      </c>
      <c r="AP60" t="s">
        <v>940</v>
      </c>
    </row>
    <row r="61" spans="1:42" x14ac:dyDescent="0.25">
      <c r="A61" t="s">
        <v>493</v>
      </c>
      <c r="C61" t="s">
        <v>26</v>
      </c>
      <c r="D61" s="5" t="s">
        <v>443</v>
      </c>
      <c r="E61" s="16"/>
      <c r="F61" s="5"/>
      <c r="G61" s="5"/>
      <c r="H61" s="5" t="str">
        <f>IFERROR(VLOOKUP(E61,'Chemical data ref sheet'!$A$1:$E$163,4,FALSE),"")</f>
        <v/>
      </c>
      <c r="I61" s="5" t="str">
        <f>IFERROR(VLOOKUP(E61,'Chemical data ref sheet'!$A$1:$E$163,5,FALSE),"")</f>
        <v/>
      </c>
      <c r="J61" s="7"/>
      <c r="K61" s="7"/>
      <c r="L61" s="290">
        <v>0.1</v>
      </c>
      <c r="M61" s="7"/>
      <c r="N61" s="7"/>
      <c r="O61" s="7"/>
      <c r="P61" s="133">
        <f>SUMIFS('Product samples'!E:E, 'Product samples'!A:A, B61)</f>
        <v>0</v>
      </c>
      <c r="Q61" s="134">
        <f>IFERROR((P61/1000)/H61,0)</f>
        <v>0</v>
      </c>
      <c r="R61" s="57">
        <f t="shared" si="0"/>
        <v>6.7510624021471718E-3</v>
      </c>
      <c r="S61" s="135">
        <f t="shared" si="1"/>
        <v>1.6490145023484681</v>
      </c>
      <c r="T61" s="132" t="str">
        <f>IF(AM61&lt;&gt;"",AM61/H61,IF(AND(C61=D61,C61&lt;&gt;""),R61,IF(O61&lt;&gt;"",O61*R61,IF(J61&lt;&gt;"",J61*R61,""))))</f>
        <v/>
      </c>
      <c r="U61" s="32">
        <f>IF(AND(H61&lt;&gt;"",T61&lt;&gt;""),T61*H61,IF(L61&lt;&gt;"",S61*L61,""))</f>
        <v>0.16490145023484681</v>
      </c>
      <c r="V61" s="135" t="str">
        <f>IFERROR(IF(AND(U61&lt;&gt;"",I61&lt;&gt;""),U61/I61,IF(AND(S61&lt;&gt;"",K61&lt;&gt;""),K61*S61,"")),"")</f>
        <v/>
      </c>
      <c r="W61" s="136" t="str">
        <f>IFERROR(IF(B61&lt;&gt;"",T61-Q61,""),"")</f>
        <v/>
      </c>
      <c r="X61" s="136" t="str">
        <f>IFERROR(IF(B61&lt;&gt;"",U61-(P61/1000),""),"")</f>
        <v/>
      </c>
      <c r="Y61" s="136" t="str">
        <f t="shared" si="2"/>
        <v/>
      </c>
      <c r="Z61" s="136" t="str">
        <f t="shared" si="3"/>
        <v/>
      </c>
      <c r="AA61" s="137" t="str">
        <f>IF(AM61&lt;&gt;"",AM61/H61,IF(AND(C61=D61,C61&lt;&gt;""),Y61,IF(M61&lt;&gt;"",M61*Y61,IF(J61&lt;&gt;"",J61*Y61,""))))</f>
        <v/>
      </c>
      <c r="AB61" s="135" t="e">
        <f>IF(AND(H61&lt;&gt;"",AA61&lt;&gt;""),AA61*H61,IF(L61&lt;&gt;"",Z61*L61,""))</f>
        <v>#VALUE!</v>
      </c>
      <c r="AC61" s="135" t="str">
        <f>IFERROR(IF(AND(AB61&lt;&gt;"",I61&lt;&gt;""),AB61/I61,IF(AND(Z61&lt;&gt;"",K61&lt;&gt;""),K61*Z61,"")),"")</f>
        <v/>
      </c>
      <c r="AD61" s="136" t="str">
        <f>IFERROR(IF(B61&lt;&gt;"",AA61-Q61,""),"")</f>
        <v/>
      </c>
      <c r="AE61" s="136" t="str">
        <f>IFERROR(IF(B61&lt;&gt;"",AB61-(P61/1000),""),"")</f>
        <v/>
      </c>
      <c r="AF61" s="136" t="str">
        <f t="shared" si="4"/>
        <v/>
      </c>
      <c r="AG61" s="136" t="str">
        <f t="shared" si="5"/>
        <v/>
      </c>
      <c r="AH61" s="137" t="str">
        <f>IF(AM61&lt;&gt;"",AM61/H61,IF(AND(C61=D61,C61&lt;&gt;""),AF61,IF(N61&lt;&gt;"",N61*AF61,IF(J61&lt;&gt;"",J61*AF61,""))))</f>
        <v/>
      </c>
      <c r="AI61" s="135" t="e">
        <f>IF(AND(H61&lt;&gt;"",AH61&lt;&gt;""),AH61*H61,IF(L61&lt;&gt;"",AG61*L61,""))</f>
        <v>#VALUE!</v>
      </c>
      <c r="AJ61" s="135" t="str">
        <f>IFERROR(IF(AND(AI61&lt;&gt;"",I61&lt;&gt;""),AI61/I61,IF(AND(AG61&lt;&gt;"",K61&lt;&gt;""),K61*AG61,"")),"")</f>
        <v/>
      </c>
      <c r="AK61" s="31" t="str">
        <f>IFERROR(IF(B61&lt;&gt;"",AH61-Q61,""),"")</f>
        <v/>
      </c>
      <c r="AL61" s="31" t="str">
        <f>IFERROR(IF(B61&lt;&gt;"",AI61-(Q61/1000),""),"")</f>
        <v/>
      </c>
    </row>
    <row r="62" spans="1:42" x14ac:dyDescent="0.25">
      <c r="A62" t="s">
        <v>493</v>
      </c>
      <c r="C62" t="s">
        <v>26</v>
      </c>
      <c r="D62" s="5" t="s">
        <v>494</v>
      </c>
      <c r="E62" s="16"/>
      <c r="F62" s="5"/>
      <c r="G62" s="5"/>
      <c r="H62" s="5"/>
      <c r="I62" s="5"/>
      <c r="J62" s="7"/>
      <c r="K62" s="7"/>
      <c r="L62" s="290"/>
      <c r="M62" s="7"/>
      <c r="N62" s="7"/>
      <c r="O62" s="7"/>
      <c r="P62" s="133">
        <f>SUMIFS('Product samples'!E:E, 'Product samples'!A:A, B62)</f>
        <v>0</v>
      </c>
      <c r="Q62" s="134">
        <f t="shared" si="6"/>
        <v>0</v>
      </c>
      <c r="R62" s="57">
        <f t="shared" si="0"/>
        <v>6.7510624021471718E-3</v>
      </c>
      <c r="S62" s="135">
        <f t="shared" si="1"/>
        <v>1.6490145023484681</v>
      </c>
      <c r="T62" s="132" t="str">
        <f t="shared" si="7"/>
        <v/>
      </c>
      <c r="U62" s="32" t="str">
        <f t="shared" si="8"/>
        <v/>
      </c>
      <c r="V62" s="135" t="str">
        <f t="shared" si="9"/>
        <v/>
      </c>
      <c r="W62" s="136" t="str">
        <f t="shared" si="10"/>
        <v/>
      </c>
      <c r="X62" s="136" t="str">
        <f t="shared" si="11"/>
        <v/>
      </c>
      <c r="Y62" s="136" t="str">
        <f t="shared" si="2"/>
        <v/>
      </c>
      <c r="Z62" s="136" t="str">
        <f t="shared" si="3"/>
        <v/>
      </c>
      <c r="AA62" s="137" t="str">
        <f t="shared" si="12"/>
        <v/>
      </c>
      <c r="AB62" s="135" t="str">
        <f t="shared" si="13"/>
        <v/>
      </c>
      <c r="AC62" s="135" t="str">
        <f t="shared" si="14"/>
        <v/>
      </c>
      <c r="AD62" s="136" t="str">
        <f t="shared" si="15"/>
        <v/>
      </c>
      <c r="AE62" s="136" t="str">
        <f t="shared" si="16"/>
        <v/>
      </c>
      <c r="AF62" s="136" t="str">
        <f t="shared" si="4"/>
        <v/>
      </c>
      <c r="AG62" s="136" t="str">
        <f t="shared" si="5"/>
        <v/>
      </c>
      <c r="AH62" s="137" t="str">
        <f t="shared" si="17"/>
        <v/>
      </c>
      <c r="AI62" s="135" t="str">
        <f t="shared" si="18"/>
        <v/>
      </c>
      <c r="AJ62" s="135" t="str">
        <f t="shared" si="19"/>
        <v/>
      </c>
      <c r="AK62" s="31" t="str">
        <f t="shared" si="20"/>
        <v/>
      </c>
      <c r="AL62" s="31" t="str">
        <f t="shared" si="21"/>
        <v/>
      </c>
      <c r="AP62" t="s">
        <v>496</v>
      </c>
    </row>
    <row r="63" spans="1:42" x14ac:dyDescent="0.25">
      <c r="A63" t="s">
        <v>493</v>
      </c>
      <c r="C63" t="s">
        <v>26</v>
      </c>
      <c r="D63" s="5" t="s">
        <v>248</v>
      </c>
      <c r="E63" s="16"/>
      <c r="F63" s="5"/>
      <c r="G63" s="5"/>
      <c r="H63" s="5" t="str">
        <f>IFERROR(VLOOKUP(E63,'Chemical data ref sheet'!$A$1:$E$163,4,FALSE),"")</f>
        <v/>
      </c>
      <c r="I63" s="5" t="str">
        <f>IFERROR(VLOOKUP(E63,'Chemical data ref sheet'!$A$1:$E$163,5,FALSE),"")</f>
        <v/>
      </c>
      <c r="J63" s="7"/>
      <c r="K63" s="7">
        <v>5</v>
      </c>
      <c r="L63" s="290"/>
      <c r="M63" s="7"/>
      <c r="N63" s="7"/>
      <c r="O63" s="7"/>
      <c r="P63" s="133">
        <f>SUMIFS('Product samples'!E:E, 'Product samples'!A:A, B63)</f>
        <v>0</v>
      </c>
      <c r="Q63" s="134">
        <f>IFERROR((P63/1000)/H63,0)</f>
        <v>0</v>
      </c>
      <c r="R63" s="57">
        <f t="shared" si="0"/>
        <v>6.7510624021471718E-3</v>
      </c>
      <c r="S63" s="135">
        <f t="shared" si="1"/>
        <v>1.6490145023484681</v>
      </c>
      <c r="T63" s="132" t="str">
        <f>IF(AM63&lt;&gt;"",AM63/H63,IF(AND(C63=D63,C63&lt;&gt;""),R63,IF(O63&lt;&gt;"",O63*R63,IF(J63&lt;&gt;"",J63*R63,""))))</f>
        <v/>
      </c>
      <c r="U63" s="32" t="str">
        <f>IF(AND(H63&lt;&gt;"",T63&lt;&gt;""),T63*H63,IF(L63&lt;&gt;"",S63*L63,""))</f>
        <v/>
      </c>
      <c r="V63" s="135">
        <f>IFERROR(IF(AND(U63&lt;&gt;"",I63&lt;&gt;""),U63/I63,IF(AND(S63&lt;&gt;"",K63&lt;&gt;""),K63*S63,"")),"")</f>
        <v>8.2450725117423413</v>
      </c>
      <c r="W63" s="136" t="str">
        <f>IFERROR(IF(B63&lt;&gt;"",T63-Q63,""),"")</f>
        <v/>
      </c>
      <c r="X63" s="136" t="str">
        <f>IFERROR(IF(B63&lt;&gt;"",U63-(P63/1000),""),"")</f>
        <v/>
      </c>
      <c r="Y63" s="136" t="str">
        <f t="shared" si="2"/>
        <v/>
      </c>
      <c r="Z63" s="136" t="str">
        <f t="shared" si="3"/>
        <v/>
      </c>
      <c r="AA63" s="137" t="str">
        <f>IF(AM63&lt;&gt;"",AM63/H63,IF(AND(C63=D63,C63&lt;&gt;""),Y63,IF(M63&lt;&gt;"",M63*Y63,IF(J63&lt;&gt;"",J63*Y63,""))))</f>
        <v/>
      </c>
      <c r="AB63" s="135" t="str">
        <f>IF(AND(H63&lt;&gt;"",AA63&lt;&gt;""),AA63*H63,IF(L63&lt;&gt;"",Z63*L63,""))</f>
        <v/>
      </c>
      <c r="AC63" s="135" t="str">
        <f>IFERROR(IF(AND(AB63&lt;&gt;"",I63&lt;&gt;""),AB63/I63,IF(AND(Z63&lt;&gt;"",K63&lt;&gt;""),K63*Z63,"")),"")</f>
        <v/>
      </c>
      <c r="AD63" s="136" t="str">
        <f>IFERROR(IF(B63&lt;&gt;"",AA63-Q63,""),"")</f>
        <v/>
      </c>
      <c r="AE63" s="136" t="str">
        <f>IFERROR(IF(B63&lt;&gt;"",AB63-(P63/1000),""),"")</f>
        <v/>
      </c>
      <c r="AF63" s="136" t="str">
        <f t="shared" si="4"/>
        <v/>
      </c>
      <c r="AG63" s="136" t="str">
        <f t="shared" si="5"/>
        <v/>
      </c>
      <c r="AH63" s="137" t="str">
        <f>IF(AM63&lt;&gt;"",AM63/H63,IF(AND(C63=D63,C63&lt;&gt;""),AF63,IF(N63&lt;&gt;"",N63*AF63,IF(J63&lt;&gt;"",J63*AF63,""))))</f>
        <v/>
      </c>
      <c r="AI63" s="135" t="str">
        <f>IF(AND(H63&lt;&gt;"",AH63&lt;&gt;""),AH63*H63,IF(L63&lt;&gt;"",AG63*L63,""))</f>
        <v/>
      </c>
      <c r="AJ63" s="135" t="str">
        <f>IFERROR(IF(AND(AI63&lt;&gt;"",I63&lt;&gt;""),AI63/I63,IF(AND(AG63&lt;&gt;"",K63&lt;&gt;""),K63*AG63,"")),"")</f>
        <v/>
      </c>
      <c r="AK63" s="31" t="str">
        <f>IFERROR(IF(B63&lt;&gt;"",AH63-Q63,""),"")</f>
        <v/>
      </c>
      <c r="AL63" s="31" t="str">
        <f>IFERROR(IF(B63&lt;&gt;"",AI63-(Q63/1000),""),"")</f>
        <v/>
      </c>
      <c r="AP63" t="s">
        <v>495</v>
      </c>
    </row>
    <row r="64" spans="1:42" x14ac:dyDescent="0.25">
      <c r="A64" t="s">
        <v>493</v>
      </c>
      <c r="C64" t="s">
        <v>26</v>
      </c>
      <c r="D64" s="5" t="s">
        <v>804</v>
      </c>
      <c r="E64" s="16"/>
      <c r="F64" s="5"/>
      <c r="G64" s="5"/>
      <c r="H64" s="5" t="str">
        <f>IFERROR(VLOOKUP(E64,'Chemical data ref sheet'!$A$1:$E$163,4,FALSE),"")</f>
        <v/>
      </c>
      <c r="I64" s="5" t="str">
        <f>IFERROR(VLOOKUP(E64,'Chemical data ref sheet'!$A$1:$E$163,5,FALSE),"")</f>
        <v/>
      </c>
      <c r="J64" s="7"/>
      <c r="K64" s="7">
        <v>6</v>
      </c>
      <c r="L64" s="290"/>
      <c r="M64" s="7"/>
      <c r="N64" s="7"/>
      <c r="O64" s="7"/>
      <c r="P64" s="133">
        <f>SUMIFS('Product samples'!E:E, 'Product samples'!A:A, B64)</f>
        <v>0</v>
      </c>
      <c r="Q64" s="134">
        <f>IFERROR((P64/1000)/H64,0)</f>
        <v>0</v>
      </c>
      <c r="R64" s="57">
        <f t="shared" si="0"/>
        <v>6.7510624021471718E-3</v>
      </c>
      <c r="S64" s="135">
        <f t="shared" si="1"/>
        <v>1.6490145023484681</v>
      </c>
      <c r="T64" s="132" t="str">
        <f>IF(AM64&lt;&gt;"",AM64/H64,IF(AND(C64=D64,C64&lt;&gt;""),R64,IF(O64&lt;&gt;"",O64*R64,IF(J64&lt;&gt;"",J64*R64,""))))</f>
        <v/>
      </c>
      <c r="U64" s="32" t="str">
        <f>IF(AND(H64&lt;&gt;"",T64&lt;&gt;""),T64*H64,IF(L64&lt;&gt;"",S64*L64,""))</f>
        <v/>
      </c>
      <c r="V64" s="135">
        <f>IFERROR(IF(AND(U64&lt;&gt;"",I64&lt;&gt;""),U64/I64,IF(AND(S64&lt;&gt;"",K64&lt;&gt;""),K64*S64,"")),"")</f>
        <v>9.8940870140908093</v>
      </c>
      <c r="W64" s="136" t="str">
        <f>IFERROR(IF(B64&lt;&gt;"",T64-Q64,""),"")</f>
        <v/>
      </c>
      <c r="X64" s="136" t="str">
        <f>IFERROR(IF(B64&lt;&gt;"",U64-(P64/1000),""),"")</f>
        <v/>
      </c>
      <c r="Y64" s="136" t="str">
        <f t="shared" si="2"/>
        <v/>
      </c>
      <c r="Z64" s="136" t="str">
        <f t="shared" si="3"/>
        <v/>
      </c>
      <c r="AA64" s="137" t="str">
        <f>IF(AM64&lt;&gt;"",AM64/H64,IF(AND(C64=D64,C64&lt;&gt;""),Y64,IF(M64&lt;&gt;"",M64*Y64,IF(J64&lt;&gt;"",J64*Y64,""))))</f>
        <v/>
      </c>
      <c r="AB64" s="135" t="str">
        <f>IF(AND(H64&lt;&gt;"",AA64&lt;&gt;""),AA64*H64,IF(L64&lt;&gt;"",Z64*L64,""))</f>
        <v/>
      </c>
      <c r="AC64" s="135" t="str">
        <f>IFERROR(IF(AND(AB64&lt;&gt;"",I64&lt;&gt;""),AB64/I64,IF(AND(Z64&lt;&gt;"",K64&lt;&gt;""),K64*Z64,"")),"")</f>
        <v/>
      </c>
      <c r="AD64" s="136" t="str">
        <f>IFERROR(IF(B64&lt;&gt;"",AA64-Q64,""),"")</f>
        <v/>
      </c>
      <c r="AE64" s="136" t="str">
        <f>IFERROR(IF(B64&lt;&gt;"",AB64-(P64/1000),""),"")</f>
        <v/>
      </c>
      <c r="AF64" s="136" t="str">
        <f t="shared" si="4"/>
        <v/>
      </c>
      <c r="AG64" s="136" t="str">
        <f t="shared" si="5"/>
        <v/>
      </c>
      <c r="AH64" s="137" t="str">
        <f>IF(AM64&lt;&gt;"",AM64/H64,IF(AND(C64=D64,C64&lt;&gt;""),AF64,IF(N64&lt;&gt;"",N64*AF64,IF(J64&lt;&gt;"",J64*AF64,""))))</f>
        <v/>
      </c>
      <c r="AI64" s="135" t="str">
        <f>IF(AND(H64&lt;&gt;"",AH64&lt;&gt;""),AH64*H64,IF(L64&lt;&gt;"",AG64*L64,""))</f>
        <v/>
      </c>
      <c r="AJ64" s="135" t="str">
        <f>IFERROR(IF(AND(AI64&lt;&gt;"",I64&lt;&gt;""),AI64/I64,IF(AND(AG64&lt;&gt;"",K64&lt;&gt;""),K64*AG64,"")),"")</f>
        <v/>
      </c>
      <c r="AK64" s="31" t="str">
        <f>IFERROR(IF(B64&lt;&gt;"",AH64-Q64,""),"")</f>
        <v/>
      </c>
      <c r="AL64" s="31" t="str">
        <f>IFERROR(IF(B64&lt;&gt;"",AI64-(Q64/1000),""),"")</f>
        <v/>
      </c>
      <c r="AP64" t="s">
        <v>498</v>
      </c>
    </row>
    <row r="65" spans="1:42" x14ac:dyDescent="0.25">
      <c r="A65" t="s">
        <v>493</v>
      </c>
      <c r="C65" t="s">
        <v>26</v>
      </c>
      <c r="D65" s="5" t="s">
        <v>254</v>
      </c>
      <c r="E65" s="16"/>
      <c r="F65" s="5" t="str">
        <f>IFERROR(VLOOKUP(E65,'Chemical data ref sheet'!$A$1:$E$163,3,FALSE),"")</f>
        <v/>
      </c>
      <c r="G65" s="5"/>
      <c r="H65" s="5" t="str">
        <f>IFERROR(VLOOKUP(E65,'Chemical data ref sheet'!$A$1:$E$163,4,FALSE),"")</f>
        <v/>
      </c>
      <c r="I65" s="5" t="str">
        <f>IFERROR(VLOOKUP(E65,'Chemical data ref sheet'!$A$1:$E$163,5,FALSE),"")</f>
        <v/>
      </c>
      <c r="J65" s="7"/>
      <c r="K65" s="7">
        <v>1.1000000000000001</v>
      </c>
      <c r="L65" s="290"/>
      <c r="M65" s="7"/>
      <c r="N65" s="7"/>
      <c r="O65" s="7"/>
      <c r="P65" s="133">
        <f>SUMIFS('Product samples'!E:E, 'Product samples'!A:A, B65)</f>
        <v>0</v>
      </c>
      <c r="Q65" s="134">
        <f t="shared" si="6"/>
        <v>0</v>
      </c>
      <c r="R65" s="57">
        <f t="shared" si="0"/>
        <v>6.7510624021471718E-3</v>
      </c>
      <c r="S65" s="135">
        <f t="shared" si="1"/>
        <v>1.6490145023484681</v>
      </c>
      <c r="T65" s="132" t="str">
        <f t="shared" si="7"/>
        <v/>
      </c>
      <c r="U65" s="32" t="str">
        <f t="shared" si="8"/>
        <v/>
      </c>
      <c r="V65" s="135">
        <f t="shared" si="9"/>
        <v>1.8139159525833151</v>
      </c>
      <c r="W65" s="136" t="str">
        <f t="shared" si="10"/>
        <v/>
      </c>
      <c r="X65" s="136" t="str">
        <f t="shared" si="11"/>
        <v/>
      </c>
      <c r="Y65" s="136" t="str">
        <f t="shared" si="2"/>
        <v/>
      </c>
      <c r="Z65" s="136" t="str">
        <f t="shared" si="3"/>
        <v/>
      </c>
      <c r="AA65" s="137" t="str">
        <f t="shared" si="12"/>
        <v/>
      </c>
      <c r="AB65" s="135" t="str">
        <f t="shared" si="13"/>
        <v/>
      </c>
      <c r="AC65" s="135" t="str">
        <f t="shared" si="14"/>
        <v/>
      </c>
      <c r="AD65" s="136" t="str">
        <f t="shared" si="15"/>
        <v/>
      </c>
      <c r="AE65" s="136" t="str">
        <f t="shared" si="16"/>
        <v/>
      </c>
      <c r="AF65" s="136" t="str">
        <f t="shared" si="4"/>
        <v/>
      </c>
      <c r="AG65" s="136" t="str">
        <f t="shared" si="5"/>
        <v/>
      </c>
      <c r="AH65" s="137" t="str">
        <f t="shared" si="17"/>
        <v/>
      </c>
      <c r="AI65" s="135" t="str">
        <f t="shared" si="18"/>
        <v/>
      </c>
      <c r="AJ65" s="135" t="str">
        <f t="shared" si="19"/>
        <v/>
      </c>
      <c r="AK65" s="31" t="str">
        <f t="shared" si="20"/>
        <v/>
      </c>
      <c r="AL65" s="31" t="str">
        <f t="shared" si="21"/>
        <v/>
      </c>
    </row>
    <row r="66" spans="1:42" x14ac:dyDescent="0.25">
      <c r="A66" t="s">
        <v>493</v>
      </c>
      <c r="C66" t="s">
        <v>26</v>
      </c>
      <c r="D66" s="5" t="s">
        <v>252</v>
      </c>
      <c r="E66" s="16"/>
      <c r="F66" s="5"/>
      <c r="G66" s="5"/>
      <c r="H66" s="5" t="str">
        <f>IFERROR(VLOOKUP(E66,'Chemical data ref sheet'!$A$1:$E$163,4,FALSE),"")</f>
        <v/>
      </c>
      <c r="I66" s="5" t="str">
        <f>IFERROR(VLOOKUP(E66,'Chemical data ref sheet'!$A$1:$E$163,5,FALSE),"")</f>
        <v/>
      </c>
      <c r="J66" s="7"/>
      <c r="K66" s="7">
        <v>4</v>
      </c>
      <c r="L66" s="290"/>
      <c r="M66" s="7"/>
      <c r="N66" s="7"/>
      <c r="O66" s="7"/>
      <c r="P66" s="133">
        <f>SUMIFS('Product samples'!E:E, 'Product samples'!A:A, B66)</f>
        <v>0</v>
      </c>
      <c r="Q66" s="134">
        <f>IFERROR((P66/1000)/H66,0)</f>
        <v>0</v>
      </c>
      <c r="R66" s="57">
        <f t="shared" ref="R66:R129" si="70">IFERROR(IF(G66="",VLOOKUP(C66,$B$1:$W$254,22,FALSE),VLOOKUP(C66,$B$1:$W$254,22,FALSE)*(G66/VLOOKUP(C66,$B$1:$X$254,23,FALSE))),"")</f>
        <v>6.7510624021471718E-3</v>
      </c>
      <c r="S66" s="135">
        <f t="shared" ref="S66:S129" si="71">IFERROR(IF(G66="",VLOOKUP(C66,$B$1:$X$254,23,FALSE),VLOOKUP(C66,$B$1:$X$254,23,FALSE)*(G66/VLOOKUP(C66,$B$1:$X$254,23,FALSE))),"")</f>
        <v>1.6490145023484681</v>
      </c>
      <c r="T66" s="132" t="str">
        <f>IF(AM66&lt;&gt;"",AM66/H66,IF(AND(C66=D66,C66&lt;&gt;""),R66,IF(O66&lt;&gt;"",O66*R66,IF(J66&lt;&gt;"",J66*R66,""))))</f>
        <v/>
      </c>
      <c r="U66" s="32" t="str">
        <f>IF(AND(H66&lt;&gt;"",T66&lt;&gt;""),T66*H66,IF(L66&lt;&gt;"",S66*L66,""))</f>
        <v/>
      </c>
      <c r="V66" s="135">
        <f>IFERROR(IF(AND(U66&lt;&gt;"",I66&lt;&gt;""),U66/I66,IF(AND(S66&lt;&gt;"",K66&lt;&gt;""),K66*S66,"")),"")</f>
        <v>6.5960580093938725</v>
      </c>
      <c r="W66" s="136" t="str">
        <f>IFERROR(IF(B66&lt;&gt;"",T66-Q66,""),"")</f>
        <v/>
      </c>
      <c r="X66" s="136" t="str">
        <f>IFERROR(IF(B66&lt;&gt;"",U66-(P66/1000),""),"")</f>
        <v/>
      </c>
      <c r="Y66" s="136" t="str">
        <f t="shared" ref="Y66:Y129" si="72">IFERROR(IF(G66="",VLOOKUP(C66,$B$1:$AD$254,29,FALSE),VLOOKUP(C66,$B$1:$AD$254,29,FALSE)*(G66/VLOOKUP(C66,$B$1:$AE$254,30,FALSE))),"")</f>
        <v/>
      </c>
      <c r="Z66" s="136" t="str">
        <f t="shared" ref="Z66:Z129" si="73">IFERROR(IF(G66="",VLOOKUP(C66,$B$1:$AE$254,30,FALSE),VLOOKUP(C66,$B$1:$AE$254,30,FALSE)*(G66/VLOOKUP(C66,$B$1:$AE$254,30,FALSE))),"")</f>
        <v/>
      </c>
      <c r="AA66" s="137" t="str">
        <f>IF(AM66&lt;&gt;"",AM66/H66,IF(AND(C66=D66,C66&lt;&gt;""),Y66,IF(M66&lt;&gt;"",M66*Y66,IF(J66&lt;&gt;"",J66*Y66,""))))</f>
        <v/>
      </c>
      <c r="AB66" s="135" t="str">
        <f>IF(AND(H66&lt;&gt;"",AA66&lt;&gt;""),AA66*H66,IF(L66&lt;&gt;"",Z66*L66,""))</f>
        <v/>
      </c>
      <c r="AC66" s="135" t="str">
        <f>IFERROR(IF(AND(AB66&lt;&gt;"",I66&lt;&gt;""),AB66/I66,IF(AND(Z66&lt;&gt;"",K66&lt;&gt;""),K66*Z66,"")),"")</f>
        <v/>
      </c>
      <c r="AD66" s="136" t="str">
        <f>IFERROR(IF(B66&lt;&gt;"",AA66-Q66,""),"")</f>
        <v/>
      </c>
      <c r="AE66" s="136" t="str">
        <f>IFERROR(IF(B66&lt;&gt;"",AB66-(P66/1000),""),"")</f>
        <v/>
      </c>
      <c r="AF66" s="136" t="str">
        <f t="shared" ref="AF66:AF129" si="74">IFERROR(IF(G66="",VLOOKUP(C66,$B$1:$AK$254,36,FALSE),VLOOKUP(C66,$B$1:$AK$254,36,FALSE)*(G66/VLOOKUP(C66,$B$1:$AL$254,37,FALSE))),"")</f>
        <v/>
      </c>
      <c r="AG66" s="136" t="str">
        <f t="shared" ref="AG66:AG129" si="75">IFERROR(IF(G66="",VLOOKUP(C66,$B$1:$AL$254,37,FALSE),VLOOKUP(C66,$B$1:$AL$254,37,FALSE)*(G66/VLOOKUP(C66,$B$1:$AL$254,37,FALSE))),"")</f>
        <v/>
      </c>
      <c r="AH66" s="137" t="str">
        <f>IF(AM66&lt;&gt;"",AM66/H66,IF(AND(C66=D66,C66&lt;&gt;""),AF66,IF(N66&lt;&gt;"",N66*AF66,IF(J66&lt;&gt;"",J66*AF66,""))))</f>
        <v/>
      </c>
      <c r="AI66" s="135" t="str">
        <f>IF(AND(H66&lt;&gt;"",AH66&lt;&gt;""),AH66*H66,IF(L66&lt;&gt;"",AG66*L66,""))</f>
        <v/>
      </c>
      <c r="AJ66" s="135" t="str">
        <f>IFERROR(IF(AND(AI66&lt;&gt;"",I66&lt;&gt;""),AI66/I66,IF(AND(AG66&lt;&gt;"",K66&lt;&gt;""),K66*AG66,"")),"")</f>
        <v/>
      </c>
      <c r="AK66" s="31" t="str">
        <f>IFERROR(IF(B66&lt;&gt;"",AH66-Q66,""),"")</f>
        <v/>
      </c>
      <c r="AL66" s="31" t="str">
        <f>IFERROR(IF(B66&lt;&gt;"",AI66-(Q66/1000),""),"")</f>
        <v/>
      </c>
      <c r="AP66" t="s">
        <v>497</v>
      </c>
    </row>
    <row r="67" spans="1:42" x14ac:dyDescent="0.25">
      <c r="A67" t="s">
        <v>493</v>
      </c>
      <c r="C67" t="s">
        <v>26</v>
      </c>
      <c r="D67" s="5" t="s">
        <v>255</v>
      </c>
      <c r="E67" s="16"/>
      <c r="F67" s="5" t="str">
        <f>IFERROR(VLOOKUP(E67,'Chemical data ref sheet'!$A$1:$E$163,3,FALSE),"")</f>
        <v/>
      </c>
      <c r="G67" s="5"/>
      <c r="H67" s="5">
        <v>248.75</v>
      </c>
      <c r="I67" s="5" t="str">
        <f>IFERROR(VLOOKUP(E67,'Chemical data ref sheet'!$A$1:$E$163,5,FALSE),"")</f>
        <v/>
      </c>
      <c r="J67" s="7"/>
      <c r="K67" s="7"/>
      <c r="L67" s="290"/>
      <c r="M67" s="7"/>
      <c r="N67" s="7"/>
      <c r="O67" s="7">
        <v>0.5</v>
      </c>
      <c r="P67" s="133">
        <f>SUMIFS('Product samples'!E:E, 'Product samples'!A:A, B67)</f>
        <v>0</v>
      </c>
      <c r="Q67" s="134">
        <f t="shared" si="6"/>
        <v>0</v>
      </c>
      <c r="R67" s="57">
        <f t="shared" si="70"/>
        <v>6.7510624021471718E-3</v>
      </c>
      <c r="S67" s="135">
        <f t="shared" si="71"/>
        <v>1.6490145023484681</v>
      </c>
      <c r="T67" s="132">
        <f t="shared" si="7"/>
        <v>3.3755312010735859E-3</v>
      </c>
      <c r="U67" s="32">
        <f t="shared" si="8"/>
        <v>0.8396633862670545</v>
      </c>
      <c r="V67" s="135" t="str">
        <f t="shared" si="9"/>
        <v/>
      </c>
      <c r="W67" s="136" t="str">
        <f t="shared" si="10"/>
        <v/>
      </c>
      <c r="X67" s="136" t="str">
        <f t="shared" si="11"/>
        <v/>
      </c>
      <c r="Y67" s="136" t="str">
        <f t="shared" si="72"/>
        <v/>
      </c>
      <c r="Z67" s="136" t="str">
        <f t="shared" si="73"/>
        <v/>
      </c>
      <c r="AA67" s="137" t="str">
        <f t="shared" si="12"/>
        <v/>
      </c>
      <c r="AB67" s="135" t="str">
        <f t="shared" si="13"/>
        <v/>
      </c>
      <c r="AC67" s="135" t="str">
        <f t="shared" si="14"/>
        <v/>
      </c>
      <c r="AD67" s="136" t="str">
        <f t="shared" si="15"/>
        <v/>
      </c>
      <c r="AE67" s="136" t="str">
        <f t="shared" si="16"/>
        <v/>
      </c>
      <c r="AF67" s="136" t="str">
        <f t="shared" si="74"/>
        <v/>
      </c>
      <c r="AG67" s="136" t="str">
        <f t="shared" si="75"/>
        <v/>
      </c>
      <c r="AH67" s="137" t="str">
        <f t="shared" si="17"/>
        <v/>
      </c>
      <c r="AI67" s="135" t="str">
        <f t="shared" si="18"/>
        <v/>
      </c>
      <c r="AJ67" s="135" t="str">
        <f t="shared" si="19"/>
        <v/>
      </c>
      <c r="AK67" s="31" t="str">
        <f t="shared" si="20"/>
        <v/>
      </c>
      <c r="AL67" s="31" t="str">
        <f t="shared" si="21"/>
        <v/>
      </c>
    </row>
    <row r="68" spans="1:42" x14ac:dyDescent="0.25">
      <c r="D68" s="5" t="str">
        <f>IFERROR(VLOOKUP(E68,'Chemical data ref sheet'!$A$1:$E$163,2,FALSE),"")</f>
        <v/>
      </c>
      <c r="E68" s="16"/>
      <c r="F68" s="5" t="str">
        <f>IFERROR(VLOOKUP(E68,'Chemical data ref sheet'!$A$1:$E$163,3,FALSE),"")</f>
        <v/>
      </c>
      <c r="G68" s="5"/>
      <c r="H68" s="5" t="str">
        <f>IFERROR(VLOOKUP(E68,'Chemical data ref sheet'!$A$1:$E$163,4,FALSE),"")</f>
        <v/>
      </c>
      <c r="I68" s="5" t="str">
        <f>IFERROR(VLOOKUP(E68,'Chemical data ref sheet'!$A$1:$E$163,5,FALSE),"")</f>
        <v/>
      </c>
      <c r="J68" s="7"/>
      <c r="K68" s="7"/>
      <c r="L68" s="290"/>
      <c r="M68" s="7"/>
      <c r="N68" s="7"/>
      <c r="O68" s="7"/>
      <c r="P68" s="133">
        <f>SUMIFS('Product samples'!E:E, 'Product samples'!A:A, B68)</f>
        <v>0</v>
      </c>
      <c r="Q68" s="134">
        <f t="shared" si="6"/>
        <v>0</v>
      </c>
      <c r="R68" s="57" t="str">
        <f t="shared" si="70"/>
        <v/>
      </c>
      <c r="S68" s="135" t="str">
        <f t="shared" si="71"/>
        <v/>
      </c>
      <c r="T68" s="132" t="str">
        <f t="shared" si="7"/>
        <v/>
      </c>
      <c r="U68" s="32" t="str">
        <f t="shared" si="8"/>
        <v/>
      </c>
      <c r="V68" s="135" t="str">
        <f t="shared" si="9"/>
        <v/>
      </c>
      <c r="W68" s="136" t="str">
        <f t="shared" si="10"/>
        <v/>
      </c>
      <c r="X68" s="136" t="str">
        <f t="shared" si="11"/>
        <v/>
      </c>
      <c r="Y68" s="136" t="str">
        <f t="shared" si="72"/>
        <v/>
      </c>
      <c r="Z68" s="136" t="str">
        <f t="shared" si="73"/>
        <v/>
      </c>
      <c r="AA68" s="137" t="str">
        <f t="shared" si="12"/>
        <v/>
      </c>
      <c r="AB68" s="135" t="str">
        <f t="shared" si="13"/>
        <v/>
      </c>
      <c r="AC68" s="135" t="str">
        <f t="shared" si="14"/>
        <v/>
      </c>
      <c r="AD68" s="136" t="str">
        <f t="shared" si="15"/>
        <v/>
      </c>
      <c r="AE68" s="136" t="str">
        <f t="shared" si="16"/>
        <v/>
      </c>
      <c r="AF68" s="136" t="str">
        <f t="shared" si="74"/>
        <v/>
      </c>
      <c r="AG68" s="136" t="str">
        <f t="shared" si="75"/>
        <v/>
      </c>
      <c r="AH68" s="137" t="str">
        <f t="shared" si="17"/>
        <v/>
      </c>
      <c r="AI68" s="135" t="str">
        <f t="shared" si="18"/>
        <v/>
      </c>
      <c r="AJ68" s="135" t="str">
        <f t="shared" si="19"/>
        <v/>
      </c>
      <c r="AK68" s="31" t="str">
        <f t="shared" si="20"/>
        <v/>
      </c>
      <c r="AL68" s="31" t="str">
        <f t="shared" si="21"/>
        <v/>
      </c>
    </row>
    <row r="69" spans="1:42" x14ac:dyDescent="0.25">
      <c r="D69" s="5" t="str">
        <f>IFERROR(VLOOKUP(E69,'Chemical data ref sheet'!$A$1:$E$163,2,FALSE),"")</f>
        <v/>
      </c>
      <c r="E69" s="16"/>
      <c r="F69" s="5" t="str">
        <f>IFERROR(VLOOKUP(E69,'Chemical data ref sheet'!$A$1:$E$163,3,FALSE),"")</f>
        <v/>
      </c>
      <c r="G69" s="5"/>
      <c r="H69" s="5" t="str">
        <f>IFERROR(VLOOKUP(E69,'Chemical data ref sheet'!$A$1:$E$163,4,FALSE),"")</f>
        <v/>
      </c>
      <c r="I69" s="5" t="str">
        <f>IFERROR(VLOOKUP(E69,'Chemical data ref sheet'!$A$1:$E$163,5,FALSE),"")</f>
        <v/>
      </c>
      <c r="J69" s="7"/>
      <c r="K69" s="7"/>
      <c r="L69" s="290"/>
      <c r="M69" s="7"/>
      <c r="N69" s="7"/>
      <c r="O69" s="7"/>
      <c r="P69" s="133">
        <f>SUMIFS('Product samples'!E:E, 'Product samples'!A:A, B69)</f>
        <v>0</v>
      </c>
      <c r="Q69" s="134">
        <f t="shared" si="6"/>
        <v>0</v>
      </c>
      <c r="R69" s="57" t="str">
        <f t="shared" si="70"/>
        <v/>
      </c>
      <c r="S69" s="135" t="str">
        <f t="shared" si="71"/>
        <v/>
      </c>
      <c r="T69" s="132" t="str">
        <f t="shared" si="7"/>
        <v/>
      </c>
      <c r="U69" s="32" t="str">
        <f t="shared" si="8"/>
        <v/>
      </c>
      <c r="V69" s="135" t="str">
        <f t="shared" si="9"/>
        <v/>
      </c>
      <c r="W69" s="136" t="str">
        <f t="shared" si="10"/>
        <v/>
      </c>
      <c r="X69" s="136" t="str">
        <f t="shared" si="11"/>
        <v/>
      </c>
      <c r="Y69" s="136" t="str">
        <f t="shared" si="72"/>
        <v/>
      </c>
      <c r="Z69" s="136" t="str">
        <f t="shared" si="73"/>
        <v/>
      </c>
      <c r="AA69" s="137" t="str">
        <f t="shared" si="12"/>
        <v/>
      </c>
      <c r="AB69" s="135" t="str">
        <f t="shared" si="13"/>
        <v/>
      </c>
      <c r="AC69" s="135" t="str">
        <f t="shared" si="14"/>
        <v/>
      </c>
      <c r="AD69" s="136" t="str">
        <f t="shared" si="15"/>
        <v/>
      </c>
      <c r="AE69" s="136" t="str">
        <f t="shared" si="16"/>
        <v/>
      </c>
      <c r="AF69" s="136" t="str">
        <f t="shared" si="74"/>
        <v/>
      </c>
      <c r="AG69" s="136" t="str">
        <f t="shared" si="75"/>
        <v/>
      </c>
      <c r="AH69" s="137" t="str">
        <f t="shared" si="17"/>
        <v/>
      </c>
      <c r="AI69" s="135" t="str">
        <f t="shared" si="18"/>
        <v/>
      </c>
      <c r="AJ69" s="135" t="str">
        <f t="shared" si="19"/>
        <v/>
      </c>
      <c r="AK69" s="31" t="str">
        <f t="shared" si="20"/>
        <v/>
      </c>
      <c r="AL69" s="31" t="str">
        <f t="shared" si="21"/>
        <v/>
      </c>
    </row>
    <row r="70" spans="1:42" x14ac:dyDescent="0.25">
      <c r="D70" s="5" t="str">
        <f>IFERROR(VLOOKUP(E70,'Chemical data ref sheet'!$A$1:$E$163,2,FALSE),"")</f>
        <v/>
      </c>
      <c r="E70" s="16"/>
      <c r="F70" s="5" t="str">
        <f>IFERROR(VLOOKUP(E70,'Chemical data ref sheet'!$A$1:$E$163,3,FALSE),"")</f>
        <v/>
      </c>
      <c r="G70" s="5"/>
      <c r="H70" s="5" t="str">
        <f>IFERROR(VLOOKUP(E70,'Chemical data ref sheet'!$A$1:$E$163,4,FALSE),"")</f>
        <v/>
      </c>
      <c r="I70" s="5" t="str">
        <f>IFERROR(VLOOKUP(E70,'Chemical data ref sheet'!$A$1:$E$163,5,FALSE),"")</f>
        <v/>
      </c>
      <c r="J70" s="7"/>
      <c r="K70" s="7"/>
      <c r="L70" s="290"/>
      <c r="M70" s="7"/>
      <c r="N70" s="7"/>
      <c r="O70" s="7"/>
      <c r="P70" s="133">
        <f>SUMIFS('Product samples'!E:E, 'Product samples'!A:A, B70)</f>
        <v>0</v>
      </c>
      <c r="Q70" s="134">
        <f t="shared" si="6"/>
        <v>0</v>
      </c>
      <c r="R70" s="57" t="str">
        <f t="shared" si="70"/>
        <v/>
      </c>
      <c r="S70" s="135" t="str">
        <f t="shared" si="71"/>
        <v/>
      </c>
      <c r="T70" s="132" t="str">
        <f t="shared" si="7"/>
        <v/>
      </c>
      <c r="U70" s="32" t="str">
        <f t="shared" si="8"/>
        <v/>
      </c>
      <c r="V70" s="135" t="str">
        <f t="shared" si="9"/>
        <v/>
      </c>
      <c r="W70" s="136" t="str">
        <f t="shared" si="10"/>
        <v/>
      </c>
      <c r="X70" s="136" t="str">
        <f t="shared" si="11"/>
        <v/>
      </c>
      <c r="Y70" s="136" t="str">
        <f t="shared" si="72"/>
        <v/>
      </c>
      <c r="Z70" s="136" t="str">
        <f t="shared" si="73"/>
        <v/>
      </c>
      <c r="AA70" s="137" t="str">
        <f t="shared" si="12"/>
        <v/>
      </c>
      <c r="AB70" s="135" t="str">
        <f t="shared" si="13"/>
        <v/>
      </c>
      <c r="AC70" s="135" t="str">
        <f t="shared" si="14"/>
        <v/>
      </c>
      <c r="AD70" s="136" t="str">
        <f t="shared" si="15"/>
        <v/>
      </c>
      <c r="AE70" s="136" t="str">
        <f t="shared" si="16"/>
        <v/>
      </c>
      <c r="AF70" s="136" t="str">
        <f t="shared" si="74"/>
        <v/>
      </c>
      <c r="AG70" s="136" t="str">
        <f t="shared" si="75"/>
        <v/>
      </c>
      <c r="AH70" s="137" t="str">
        <f t="shared" si="17"/>
        <v/>
      </c>
      <c r="AI70" s="135" t="str">
        <f t="shared" si="18"/>
        <v/>
      </c>
      <c r="AJ70" s="135" t="str">
        <f t="shared" si="19"/>
        <v/>
      </c>
      <c r="AK70" s="31" t="str">
        <f t="shared" si="20"/>
        <v/>
      </c>
      <c r="AL70" s="31" t="str">
        <f t="shared" si="21"/>
        <v/>
      </c>
    </row>
    <row r="71" spans="1:42" x14ac:dyDescent="0.25">
      <c r="D71" s="5" t="str">
        <f>IFERROR(VLOOKUP(E71,'Chemical data ref sheet'!$A$1:$E$163,2,FALSE),"")</f>
        <v/>
      </c>
      <c r="E71" s="16"/>
      <c r="F71" s="5" t="str">
        <f>IFERROR(VLOOKUP(E71,'Chemical data ref sheet'!$A$1:$E$163,3,FALSE),"")</f>
        <v/>
      </c>
      <c r="G71" s="5"/>
      <c r="H71" s="5" t="str">
        <f>IFERROR(VLOOKUP(E71,'Chemical data ref sheet'!$A$1:$E$163,4,FALSE),"")</f>
        <v/>
      </c>
      <c r="I71" s="5" t="str">
        <f>IFERROR(VLOOKUP(E71,'Chemical data ref sheet'!$A$1:$E$163,5,FALSE),"")</f>
        <v/>
      </c>
      <c r="J71" s="7"/>
      <c r="K71" s="7"/>
      <c r="L71" s="290"/>
      <c r="M71" s="7"/>
      <c r="N71" s="7"/>
      <c r="O71" s="7"/>
      <c r="P71" s="133">
        <f>SUMIFS('Product samples'!E:E, 'Product samples'!A:A, B71)</f>
        <v>0</v>
      </c>
      <c r="Q71" s="134">
        <f t="shared" si="6"/>
        <v>0</v>
      </c>
      <c r="R71" s="57" t="str">
        <f t="shared" si="70"/>
        <v/>
      </c>
      <c r="S71" s="135" t="str">
        <f t="shared" si="71"/>
        <v/>
      </c>
      <c r="T71" s="132" t="str">
        <f t="shared" si="7"/>
        <v/>
      </c>
      <c r="U71" s="32" t="str">
        <f t="shared" si="8"/>
        <v/>
      </c>
      <c r="V71" s="135" t="str">
        <f t="shared" si="9"/>
        <v/>
      </c>
      <c r="W71" s="136" t="str">
        <f t="shared" si="10"/>
        <v/>
      </c>
      <c r="X71" s="136" t="str">
        <f t="shared" si="11"/>
        <v/>
      </c>
      <c r="Y71" s="136" t="str">
        <f t="shared" si="72"/>
        <v/>
      </c>
      <c r="Z71" s="136" t="str">
        <f t="shared" si="73"/>
        <v/>
      </c>
      <c r="AA71" s="137" t="str">
        <f t="shared" si="12"/>
        <v/>
      </c>
      <c r="AB71" s="135" t="str">
        <f t="shared" si="13"/>
        <v/>
      </c>
      <c r="AC71" s="135" t="str">
        <f t="shared" si="14"/>
        <v/>
      </c>
      <c r="AD71" s="136" t="str">
        <f t="shared" si="15"/>
        <v/>
      </c>
      <c r="AE71" s="136" t="str">
        <f t="shared" si="16"/>
        <v/>
      </c>
      <c r="AF71" s="136" t="str">
        <f t="shared" si="74"/>
        <v/>
      </c>
      <c r="AG71" s="136" t="str">
        <f t="shared" si="75"/>
        <v/>
      </c>
      <c r="AH71" s="137" t="str">
        <f t="shared" si="17"/>
        <v/>
      </c>
      <c r="AI71" s="135" t="str">
        <f t="shared" si="18"/>
        <v/>
      </c>
      <c r="AJ71" s="135" t="str">
        <f t="shared" si="19"/>
        <v/>
      </c>
      <c r="AK71" s="31" t="str">
        <f t="shared" si="20"/>
        <v/>
      </c>
      <c r="AL71" s="31" t="str">
        <f t="shared" si="21"/>
        <v/>
      </c>
    </row>
    <row r="72" spans="1:42" x14ac:dyDescent="0.25">
      <c r="D72" s="5" t="str">
        <f>IFERROR(VLOOKUP(E72,'Chemical data ref sheet'!$A$1:$E$163,2,FALSE),"")</f>
        <v/>
      </c>
      <c r="E72" s="16"/>
      <c r="F72" s="5" t="str">
        <f>IFERROR(VLOOKUP(E72,'Chemical data ref sheet'!$A$1:$E$163,3,FALSE),"")</f>
        <v/>
      </c>
      <c r="G72" s="5"/>
      <c r="H72" s="5" t="str">
        <f>IFERROR(VLOOKUP(E72,'Chemical data ref sheet'!$A$1:$E$163,4,FALSE),"")</f>
        <v/>
      </c>
      <c r="I72" s="5" t="str">
        <f>IFERROR(VLOOKUP(E72,'Chemical data ref sheet'!$A$1:$E$163,5,FALSE),"")</f>
        <v/>
      </c>
      <c r="J72" s="7"/>
      <c r="K72" s="7"/>
      <c r="L72" s="290"/>
      <c r="M72" s="7"/>
      <c r="N72" s="7"/>
      <c r="O72" s="7"/>
      <c r="P72" s="133">
        <f>SUMIFS('Product samples'!E:E, 'Product samples'!A:A, B72)</f>
        <v>0</v>
      </c>
      <c r="Q72" s="134">
        <f t="shared" si="6"/>
        <v>0</v>
      </c>
      <c r="R72" s="57" t="str">
        <f t="shared" si="70"/>
        <v/>
      </c>
      <c r="S72" s="135" t="str">
        <f t="shared" si="71"/>
        <v/>
      </c>
      <c r="T72" s="132" t="str">
        <f t="shared" si="7"/>
        <v/>
      </c>
      <c r="U72" s="32" t="str">
        <f t="shared" si="8"/>
        <v/>
      </c>
      <c r="V72" s="135" t="str">
        <f t="shared" si="9"/>
        <v/>
      </c>
      <c r="W72" s="136" t="str">
        <f t="shared" si="10"/>
        <v/>
      </c>
      <c r="X72" s="136" t="str">
        <f t="shared" si="11"/>
        <v/>
      </c>
      <c r="Y72" s="136" t="str">
        <f t="shared" si="72"/>
        <v/>
      </c>
      <c r="Z72" s="136" t="str">
        <f t="shared" si="73"/>
        <v/>
      </c>
      <c r="AA72" s="137" t="str">
        <f t="shared" si="12"/>
        <v/>
      </c>
      <c r="AB72" s="135" t="str">
        <f t="shared" si="13"/>
        <v/>
      </c>
      <c r="AC72" s="135" t="str">
        <f t="shared" si="14"/>
        <v/>
      </c>
      <c r="AD72" s="136" t="str">
        <f t="shared" si="15"/>
        <v/>
      </c>
      <c r="AE72" s="136" t="str">
        <f t="shared" si="16"/>
        <v/>
      </c>
      <c r="AF72" s="136" t="str">
        <f t="shared" si="74"/>
        <v/>
      </c>
      <c r="AG72" s="136" t="str">
        <f t="shared" si="75"/>
        <v/>
      </c>
      <c r="AH72" s="137" t="str">
        <f t="shared" si="17"/>
        <v/>
      </c>
      <c r="AI72" s="135" t="str">
        <f t="shared" si="18"/>
        <v/>
      </c>
      <c r="AJ72" s="135" t="str">
        <f t="shared" si="19"/>
        <v/>
      </c>
      <c r="AK72" s="31" t="str">
        <f t="shared" si="20"/>
        <v/>
      </c>
      <c r="AL72" s="31" t="str">
        <f t="shared" si="21"/>
        <v/>
      </c>
    </row>
    <row r="73" spans="1:42" x14ac:dyDescent="0.25">
      <c r="D73" s="5" t="str">
        <f>IFERROR(VLOOKUP(E73,'Chemical data ref sheet'!$A$1:$E$163,2,FALSE),"")</f>
        <v/>
      </c>
      <c r="E73" s="16"/>
      <c r="F73" s="5" t="str">
        <f>IFERROR(VLOOKUP(E73,'Chemical data ref sheet'!$A$1:$E$163,3,FALSE),"")</f>
        <v/>
      </c>
      <c r="G73" s="5"/>
      <c r="H73" s="5" t="str">
        <f>IFERROR(VLOOKUP(E73,'Chemical data ref sheet'!$A$1:$E$163,4,FALSE),"")</f>
        <v/>
      </c>
      <c r="I73" s="5" t="str">
        <f>IFERROR(VLOOKUP(E73,'Chemical data ref sheet'!$A$1:$E$163,5,FALSE),"")</f>
        <v/>
      </c>
      <c r="J73" s="7"/>
      <c r="K73" s="7"/>
      <c r="L73" s="290"/>
      <c r="M73" s="7"/>
      <c r="N73" s="7"/>
      <c r="O73" s="7"/>
      <c r="P73" s="133">
        <f>SUMIFS('Product samples'!E:E, 'Product samples'!A:A, B73)</f>
        <v>0</v>
      </c>
      <c r="Q73" s="134">
        <f t="shared" si="6"/>
        <v>0</v>
      </c>
      <c r="R73" s="57" t="str">
        <f t="shared" si="70"/>
        <v/>
      </c>
      <c r="S73" s="135" t="str">
        <f t="shared" si="71"/>
        <v/>
      </c>
      <c r="T73" s="132" t="str">
        <f t="shared" si="7"/>
        <v/>
      </c>
      <c r="U73" s="32" t="str">
        <f t="shared" si="8"/>
        <v/>
      </c>
      <c r="V73" s="135" t="str">
        <f t="shared" si="9"/>
        <v/>
      </c>
      <c r="W73" s="136" t="str">
        <f t="shared" si="10"/>
        <v/>
      </c>
      <c r="X73" s="136" t="str">
        <f t="shared" si="11"/>
        <v/>
      </c>
      <c r="Y73" s="136" t="str">
        <f t="shared" si="72"/>
        <v/>
      </c>
      <c r="Z73" s="136" t="str">
        <f t="shared" si="73"/>
        <v/>
      </c>
      <c r="AA73" s="137" t="str">
        <f t="shared" si="12"/>
        <v/>
      </c>
      <c r="AB73" s="135" t="str">
        <f t="shared" si="13"/>
        <v/>
      </c>
      <c r="AC73" s="135" t="str">
        <f t="shared" si="14"/>
        <v/>
      </c>
      <c r="AD73" s="136" t="str">
        <f t="shared" si="15"/>
        <v/>
      </c>
      <c r="AE73" s="136" t="str">
        <f t="shared" si="16"/>
        <v/>
      </c>
      <c r="AF73" s="136" t="str">
        <f t="shared" si="74"/>
        <v/>
      </c>
      <c r="AG73" s="136" t="str">
        <f t="shared" si="75"/>
        <v/>
      </c>
      <c r="AH73" s="137" t="str">
        <f t="shared" si="17"/>
        <v/>
      </c>
      <c r="AI73" s="135" t="str">
        <f t="shared" si="18"/>
        <v/>
      </c>
      <c r="AJ73" s="135" t="str">
        <f t="shared" si="19"/>
        <v/>
      </c>
      <c r="AK73" s="31" t="str">
        <f t="shared" si="20"/>
        <v/>
      </c>
      <c r="AL73" s="31" t="str">
        <f t="shared" si="21"/>
        <v/>
      </c>
    </row>
    <row r="74" spans="1:42" x14ac:dyDescent="0.25">
      <c r="D74" s="5" t="str">
        <f>IFERROR(VLOOKUP(E74,'Chemical data ref sheet'!$A$1:$E$163,2,FALSE),"")</f>
        <v/>
      </c>
      <c r="E74" s="16"/>
      <c r="F74" s="5" t="str">
        <f>IFERROR(VLOOKUP(E74,'Chemical data ref sheet'!$A$1:$E$163,3,FALSE),"")</f>
        <v/>
      </c>
      <c r="G74" s="5"/>
      <c r="H74" s="5" t="str">
        <f>IFERROR(VLOOKUP(E74,'Chemical data ref sheet'!$A$1:$E$163,4,FALSE),"")</f>
        <v/>
      </c>
      <c r="I74" s="5" t="str">
        <f>IFERROR(VLOOKUP(E74,'Chemical data ref sheet'!$A$1:$E$163,5,FALSE),"")</f>
        <v/>
      </c>
      <c r="J74" s="7"/>
      <c r="K74" s="7"/>
      <c r="L74" s="290"/>
      <c r="M74" s="7"/>
      <c r="N74" s="7"/>
      <c r="O74" s="7"/>
      <c r="P74" s="133">
        <f>SUMIFS('Product samples'!E:E, 'Product samples'!A:A, B74)</f>
        <v>0</v>
      </c>
      <c r="Q74" s="134">
        <f t="shared" si="6"/>
        <v>0</v>
      </c>
      <c r="R74" s="57" t="str">
        <f t="shared" si="70"/>
        <v/>
      </c>
      <c r="S74" s="135" t="str">
        <f t="shared" si="71"/>
        <v/>
      </c>
      <c r="T74" s="132" t="str">
        <f t="shared" si="7"/>
        <v/>
      </c>
      <c r="U74" s="32" t="str">
        <f t="shared" si="8"/>
        <v/>
      </c>
      <c r="V74" s="135" t="str">
        <f t="shared" si="9"/>
        <v/>
      </c>
      <c r="W74" s="136" t="str">
        <f t="shared" si="10"/>
        <v/>
      </c>
      <c r="X74" s="136" t="str">
        <f t="shared" si="11"/>
        <v/>
      </c>
      <c r="Y74" s="136" t="str">
        <f t="shared" si="72"/>
        <v/>
      </c>
      <c r="Z74" s="136" t="str">
        <f t="shared" si="73"/>
        <v/>
      </c>
      <c r="AA74" s="137" t="str">
        <f t="shared" si="12"/>
        <v/>
      </c>
      <c r="AB74" s="135" t="str">
        <f t="shared" si="13"/>
        <v/>
      </c>
      <c r="AC74" s="135" t="str">
        <f t="shared" si="14"/>
        <v/>
      </c>
      <c r="AD74" s="136" t="str">
        <f t="shared" si="15"/>
        <v/>
      </c>
      <c r="AE74" s="136" t="str">
        <f t="shared" si="16"/>
        <v/>
      </c>
      <c r="AF74" s="136" t="str">
        <f t="shared" si="74"/>
        <v/>
      </c>
      <c r="AG74" s="136" t="str">
        <f t="shared" si="75"/>
        <v/>
      </c>
      <c r="AH74" s="137" t="str">
        <f t="shared" si="17"/>
        <v/>
      </c>
      <c r="AI74" s="135" t="str">
        <f t="shared" si="18"/>
        <v/>
      </c>
      <c r="AJ74" s="135" t="str">
        <f t="shared" si="19"/>
        <v/>
      </c>
      <c r="AK74" s="31" t="str">
        <f t="shared" si="20"/>
        <v/>
      </c>
      <c r="AL74" s="31" t="str">
        <f t="shared" si="21"/>
        <v/>
      </c>
    </row>
    <row r="75" spans="1:42" x14ac:dyDescent="0.25">
      <c r="D75" s="5" t="str">
        <f>IFERROR(VLOOKUP(E75,'Chemical data ref sheet'!$A$1:$E$163,2,FALSE),"")</f>
        <v/>
      </c>
      <c r="E75" s="16"/>
      <c r="F75" s="5" t="str">
        <f>IFERROR(VLOOKUP(E75,'Chemical data ref sheet'!$A$1:$E$163,3,FALSE),"")</f>
        <v/>
      </c>
      <c r="G75" s="5"/>
      <c r="H75" s="5" t="str">
        <f>IFERROR(VLOOKUP(E75,'Chemical data ref sheet'!$A$1:$E$163,4,FALSE),"")</f>
        <v/>
      </c>
      <c r="I75" s="5" t="str">
        <f>IFERROR(VLOOKUP(E75,'Chemical data ref sheet'!$A$1:$E$163,5,FALSE),"")</f>
        <v/>
      </c>
      <c r="J75" s="7"/>
      <c r="K75" s="7"/>
      <c r="L75" s="290"/>
      <c r="M75" s="7"/>
      <c r="N75" s="7"/>
      <c r="O75" s="7"/>
      <c r="P75" s="133">
        <f>SUMIFS('Product samples'!E:E, 'Product samples'!A:A, B75)</f>
        <v>0</v>
      </c>
      <c r="Q75" s="134">
        <f t="shared" si="6"/>
        <v>0</v>
      </c>
      <c r="R75" s="57" t="str">
        <f t="shared" si="70"/>
        <v/>
      </c>
      <c r="S75" s="135" t="str">
        <f t="shared" si="71"/>
        <v/>
      </c>
      <c r="T75" s="132" t="str">
        <f t="shared" si="7"/>
        <v/>
      </c>
      <c r="U75" s="32" t="str">
        <f t="shared" si="8"/>
        <v/>
      </c>
      <c r="V75" s="135" t="str">
        <f t="shared" si="9"/>
        <v/>
      </c>
      <c r="W75" s="136" t="str">
        <f t="shared" si="10"/>
        <v/>
      </c>
      <c r="X75" s="136" t="str">
        <f t="shared" si="11"/>
        <v/>
      </c>
      <c r="Y75" s="136" t="str">
        <f t="shared" si="72"/>
        <v/>
      </c>
      <c r="Z75" s="136" t="str">
        <f t="shared" si="73"/>
        <v/>
      </c>
      <c r="AA75" s="137" t="str">
        <f t="shared" si="12"/>
        <v/>
      </c>
      <c r="AB75" s="135" t="str">
        <f t="shared" si="13"/>
        <v/>
      </c>
      <c r="AC75" s="135" t="str">
        <f t="shared" si="14"/>
        <v/>
      </c>
      <c r="AD75" s="136" t="str">
        <f t="shared" si="15"/>
        <v/>
      </c>
      <c r="AE75" s="136" t="str">
        <f t="shared" si="16"/>
        <v/>
      </c>
      <c r="AF75" s="136" t="str">
        <f t="shared" si="74"/>
        <v/>
      </c>
      <c r="AG75" s="136" t="str">
        <f t="shared" si="75"/>
        <v/>
      </c>
      <c r="AH75" s="137" t="str">
        <f t="shared" si="17"/>
        <v/>
      </c>
      <c r="AI75" s="135" t="str">
        <f t="shared" si="18"/>
        <v/>
      </c>
      <c r="AJ75" s="135" t="str">
        <f t="shared" si="19"/>
        <v/>
      </c>
      <c r="AK75" s="31" t="str">
        <f t="shared" si="20"/>
        <v/>
      </c>
      <c r="AL75" s="31" t="str">
        <f t="shared" si="21"/>
        <v/>
      </c>
    </row>
    <row r="76" spans="1:42" x14ac:dyDescent="0.25">
      <c r="D76" s="5" t="str">
        <f>IFERROR(VLOOKUP(E76,'Chemical data ref sheet'!$A$1:$E$163,2,FALSE),"")</f>
        <v/>
      </c>
      <c r="E76" s="16"/>
      <c r="F76" s="5" t="str">
        <f>IFERROR(VLOOKUP(E76,'Chemical data ref sheet'!$A$1:$E$163,3,FALSE),"")</f>
        <v/>
      </c>
      <c r="G76" s="5"/>
      <c r="H76" s="5" t="str">
        <f>IFERROR(VLOOKUP(E76,'Chemical data ref sheet'!$A$1:$E$163,4,FALSE),"")</f>
        <v/>
      </c>
      <c r="I76" s="5" t="str">
        <f>IFERROR(VLOOKUP(E76,'Chemical data ref sheet'!$A$1:$E$163,5,FALSE),"")</f>
        <v/>
      </c>
      <c r="J76" s="7"/>
      <c r="K76" s="7"/>
      <c r="L76" s="290"/>
      <c r="M76" s="7"/>
      <c r="N76" s="7"/>
      <c r="O76" s="7"/>
      <c r="P76" s="133">
        <f>SUMIFS('Product samples'!E:E, 'Product samples'!A:A, B76)</f>
        <v>0</v>
      </c>
      <c r="Q76" s="134">
        <f t="shared" si="6"/>
        <v>0</v>
      </c>
      <c r="R76" s="57" t="str">
        <f t="shared" si="70"/>
        <v/>
      </c>
      <c r="S76" s="135" t="str">
        <f t="shared" si="71"/>
        <v/>
      </c>
      <c r="T76" s="132" t="str">
        <f t="shared" si="7"/>
        <v/>
      </c>
      <c r="U76" s="32" t="str">
        <f t="shared" si="8"/>
        <v/>
      </c>
      <c r="V76" s="135" t="str">
        <f t="shared" si="9"/>
        <v/>
      </c>
      <c r="W76" s="136" t="str">
        <f t="shared" si="10"/>
        <v/>
      </c>
      <c r="X76" s="136" t="str">
        <f t="shared" si="11"/>
        <v/>
      </c>
      <c r="Y76" s="136" t="str">
        <f t="shared" si="72"/>
        <v/>
      </c>
      <c r="Z76" s="136" t="str">
        <f t="shared" si="73"/>
        <v/>
      </c>
      <c r="AA76" s="137" t="str">
        <f t="shared" si="12"/>
        <v/>
      </c>
      <c r="AB76" s="135" t="str">
        <f t="shared" si="13"/>
        <v/>
      </c>
      <c r="AC76" s="135" t="str">
        <f t="shared" si="14"/>
        <v/>
      </c>
      <c r="AD76" s="136" t="str">
        <f t="shared" si="15"/>
        <v/>
      </c>
      <c r="AE76" s="136" t="str">
        <f t="shared" si="16"/>
        <v/>
      </c>
      <c r="AF76" s="136" t="str">
        <f t="shared" si="74"/>
        <v/>
      </c>
      <c r="AG76" s="136" t="str">
        <f t="shared" si="75"/>
        <v/>
      </c>
      <c r="AH76" s="137" t="str">
        <f t="shared" si="17"/>
        <v/>
      </c>
      <c r="AI76" s="135" t="str">
        <f t="shared" si="18"/>
        <v/>
      </c>
      <c r="AJ76" s="135" t="str">
        <f t="shared" si="19"/>
        <v/>
      </c>
      <c r="AK76" s="31" t="str">
        <f t="shared" si="20"/>
        <v/>
      </c>
      <c r="AL76" s="31" t="str">
        <f t="shared" si="21"/>
        <v/>
      </c>
    </row>
    <row r="77" spans="1:42" x14ac:dyDescent="0.25">
      <c r="D77" s="5" t="str">
        <f>IFERROR(VLOOKUP(E77,'Chemical data ref sheet'!$A$1:$E$163,2,FALSE),"")</f>
        <v/>
      </c>
      <c r="E77" s="16"/>
      <c r="F77" s="5" t="str">
        <f>IFERROR(VLOOKUP(E77,'Chemical data ref sheet'!$A$1:$E$163,3,FALSE),"")</f>
        <v/>
      </c>
      <c r="G77" s="5"/>
      <c r="H77" s="5" t="str">
        <f>IFERROR(VLOOKUP(E77,'Chemical data ref sheet'!$A$1:$E$163,4,FALSE),"")</f>
        <v/>
      </c>
      <c r="I77" s="5" t="str">
        <f>IFERROR(VLOOKUP(E77,'Chemical data ref sheet'!$A$1:$E$163,5,FALSE),"")</f>
        <v/>
      </c>
      <c r="J77" s="7"/>
      <c r="K77" s="7"/>
      <c r="L77" s="290"/>
      <c r="M77" s="7"/>
      <c r="N77" s="7"/>
      <c r="O77" s="7"/>
      <c r="P77" s="133">
        <f>SUMIFS('Product samples'!E:E, 'Product samples'!A:A, B77)</f>
        <v>0</v>
      </c>
      <c r="Q77" s="134">
        <f t="shared" si="6"/>
        <v>0</v>
      </c>
      <c r="R77" s="57" t="str">
        <f t="shared" si="70"/>
        <v/>
      </c>
      <c r="S77" s="135" t="str">
        <f t="shared" si="71"/>
        <v/>
      </c>
      <c r="T77" s="132" t="str">
        <f t="shared" si="7"/>
        <v/>
      </c>
      <c r="U77" s="32" t="str">
        <f t="shared" si="8"/>
        <v/>
      </c>
      <c r="V77" s="135" t="str">
        <f t="shared" si="9"/>
        <v/>
      </c>
      <c r="W77" s="136" t="str">
        <f t="shared" si="10"/>
        <v/>
      </c>
      <c r="X77" s="136" t="str">
        <f t="shared" si="11"/>
        <v/>
      </c>
      <c r="Y77" s="136" t="str">
        <f t="shared" si="72"/>
        <v/>
      </c>
      <c r="Z77" s="136" t="str">
        <f t="shared" si="73"/>
        <v/>
      </c>
      <c r="AA77" s="137" t="str">
        <f t="shared" si="12"/>
        <v/>
      </c>
      <c r="AB77" s="135" t="str">
        <f t="shared" si="13"/>
        <v/>
      </c>
      <c r="AC77" s="135" t="str">
        <f t="shared" si="14"/>
        <v/>
      </c>
      <c r="AD77" s="136" t="str">
        <f t="shared" si="15"/>
        <v/>
      </c>
      <c r="AE77" s="136" t="str">
        <f t="shared" si="16"/>
        <v/>
      </c>
      <c r="AF77" s="136" t="str">
        <f t="shared" si="74"/>
        <v/>
      </c>
      <c r="AG77" s="136" t="str">
        <f t="shared" si="75"/>
        <v/>
      </c>
      <c r="AH77" s="137" t="str">
        <f t="shared" si="17"/>
        <v/>
      </c>
      <c r="AI77" s="135" t="str">
        <f t="shared" si="18"/>
        <v/>
      </c>
      <c r="AJ77" s="135" t="str">
        <f t="shared" si="19"/>
        <v/>
      </c>
      <c r="AK77" s="31" t="str">
        <f t="shared" si="20"/>
        <v/>
      </c>
      <c r="AL77" s="31" t="str">
        <f t="shared" si="21"/>
        <v/>
      </c>
    </row>
    <row r="78" spans="1:42" x14ac:dyDescent="0.25">
      <c r="D78" s="5" t="str">
        <f>IFERROR(VLOOKUP(E78,'Chemical data ref sheet'!$A$1:$E$163,2,FALSE),"")</f>
        <v/>
      </c>
      <c r="E78" s="16"/>
      <c r="F78" s="5" t="str">
        <f>IFERROR(VLOOKUP(E78,'Chemical data ref sheet'!$A$1:$E$163,3,FALSE),"")</f>
        <v/>
      </c>
      <c r="G78" s="5"/>
      <c r="H78" s="5" t="str">
        <f>IFERROR(VLOOKUP(E78,'Chemical data ref sheet'!$A$1:$E$163,4,FALSE),"")</f>
        <v/>
      </c>
      <c r="I78" s="5" t="str">
        <f>IFERROR(VLOOKUP(E78,'Chemical data ref sheet'!$A$1:$E$163,5,FALSE),"")</f>
        <v/>
      </c>
      <c r="J78" s="7"/>
      <c r="K78" s="7"/>
      <c r="L78" s="290"/>
      <c r="M78" s="7"/>
      <c r="N78" s="7"/>
      <c r="O78" s="7"/>
      <c r="P78" s="133">
        <f>SUMIFS('Product samples'!E:E, 'Product samples'!A:A, B78)</f>
        <v>0</v>
      </c>
      <c r="Q78" s="134">
        <f t="shared" si="6"/>
        <v>0</v>
      </c>
      <c r="R78" s="57" t="str">
        <f t="shared" si="70"/>
        <v/>
      </c>
      <c r="S78" s="135" t="str">
        <f t="shared" si="71"/>
        <v/>
      </c>
      <c r="T78" s="132" t="str">
        <f t="shared" si="7"/>
        <v/>
      </c>
      <c r="U78" s="32" t="str">
        <f t="shared" si="8"/>
        <v/>
      </c>
      <c r="V78" s="135" t="str">
        <f t="shared" si="9"/>
        <v/>
      </c>
      <c r="W78" s="136" t="str">
        <f t="shared" si="10"/>
        <v/>
      </c>
      <c r="X78" s="136" t="str">
        <f t="shared" si="11"/>
        <v/>
      </c>
      <c r="Y78" s="136" t="str">
        <f t="shared" si="72"/>
        <v/>
      </c>
      <c r="Z78" s="136" t="str">
        <f t="shared" si="73"/>
        <v/>
      </c>
      <c r="AA78" s="137" t="str">
        <f t="shared" si="12"/>
        <v/>
      </c>
      <c r="AB78" s="135" t="str">
        <f t="shared" si="13"/>
        <v/>
      </c>
      <c r="AC78" s="135" t="str">
        <f t="shared" si="14"/>
        <v/>
      </c>
      <c r="AD78" s="136" t="str">
        <f t="shared" si="15"/>
        <v/>
      </c>
      <c r="AE78" s="136" t="str">
        <f t="shared" si="16"/>
        <v/>
      </c>
      <c r="AF78" s="136" t="str">
        <f t="shared" si="74"/>
        <v/>
      </c>
      <c r="AG78" s="136" t="str">
        <f t="shared" si="75"/>
        <v/>
      </c>
      <c r="AH78" s="137" t="str">
        <f t="shared" si="17"/>
        <v/>
      </c>
      <c r="AI78" s="135" t="str">
        <f t="shared" si="18"/>
        <v/>
      </c>
      <c r="AJ78" s="135" t="str">
        <f t="shared" si="19"/>
        <v/>
      </c>
      <c r="AK78" s="31" t="str">
        <f t="shared" si="20"/>
        <v/>
      </c>
      <c r="AL78" s="31" t="str">
        <f t="shared" si="21"/>
        <v/>
      </c>
    </row>
    <row r="79" spans="1:42" x14ac:dyDescent="0.25">
      <c r="D79" s="5" t="str">
        <f>IFERROR(VLOOKUP(E79,'Chemical data ref sheet'!$A$1:$E$163,2,FALSE),"")</f>
        <v/>
      </c>
      <c r="E79" s="16"/>
      <c r="F79" s="5" t="str">
        <f>IFERROR(VLOOKUP(E79,'Chemical data ref sheet'!$A$1:$E$163,3,FALSE),"")</f>
        <v/>
      </c>
      <c r="G79" s="5"/>
      <c r="H79" s="5" t="str">
        <f>IFERROR(VLOOKUP(E79,'Chemical data ref sheet'!$A$1:$E$163,4,FALSE),"")</f>
        <v/>
      </c>
      <c r="I79" s="5" t="str">
        <f>IFERROR(VLOOKUP(E79,'Chemical data ref sheet'!$A$1:$E$163,5,FALSE),"")</f>
        <v/>
      </c>
      <c r="J79" s="7"/>
      <c r="K79" s="7"/>
      <c r="L79" s="290"/>
      <c r="M79" s="7"/>
      <c r="N79" s="7"/>
      <c r="O79" s="7"/>
      <c r="P79" s="133">
        <f>SUMIFS('Product samples'!E:E, 'Product samples'!A:A, B79)</f>
        <v>0</v>
      </c>
      <c r="Q79" s="134">
        <f t="shared" si="6"/>
        <v>0</v>
      </c>
      <c r="R79" s="57" t="str">
        <f t="shared" si="70"/>
        <v/>
      </c>
      <c r="S79" s="135" t="str">
        <f t="shared" si="71"/>
        <v/>
      </c>
      <c r="T79" s="132" t="str">
        <f t="shared" si="7"/>
        <v/>
      </c>
      <c r="U79" s="32" t="str">
        <f t="shared" si="8"/>
        <v/>
      </c>
      <c r="V79" s="135" t="str">
        <f t="shared" si="9"/>
        <v/>
      </c>
      <c r="W79" s="136" t="str">
        <f t="shared" si="10"/>
        <v/>
      </c>
      <c r="X79" s="136" t="str">
        <f t="shared" si="11"/>
        <v/>
      </c>
      <c r="Y79" s="136" t="str">
        <f t="shared" si="72"/>
        <v/>
      </c>
      <c r="Z79" s="136" t="str">
        <f t="shared" si="73"/>
        <v/>
      </c>
      <c r="AA79" s="137" t="str">
        <f t="shared" si="12"/>
        <v/>
      </c>
      <c r="AB79" s="135" t="str">
        <f t="shared" si="13"/>
        <v/>
      </c>
      <c r="AC79" s="135" t="str">
        <f t="shared" si="14"/>
        <v/>
      </c>
      <c r="AD79" s="136" t="str">
        <f t="shared" si="15"/>
        <v/>
      </c>
      <c r="AE79" s="136" t="str">
        <f t="shared" si="16"/>
        <v/>
      </c>
      <c r="AF79" s="136" t="str">
        <f t="shared" si="74"/>
        <v/>
      </c>
      <c r="AG79" s="136" t="str">
        <f t="shared" si="75"/>
        <v/>
      </c>
      <c r="AH79" s="137" t="str">
        <f t="shared" si="17"/>
        <v/>
      </c>
      <c r="AI79" s="135" t="str">
        <f t="shared" si="18"/>
        <v/>
      </c>
      <c r="AJ79" s="135" t="str">
        <f t="shared" si="19"/>
        <v/>
      </c>
      <c r="AK79" s="31" t="str">
        <f t="shared" si="20"/>
        <v/>
      </c>
      <c r="AL79" s="31" t="str">
        <f t="shared" si="21"/>
        <v/>
      </c>
    </row>
    <row r="80" spans="1:42" x14ac:dyDescent="0.25">
      <c r="D80" s="5" t="str">
        <f>IFERROR(VLOOKUP(E80,'Chemical data ref sheet'!$A$1:$E$163,2,FALSE),"")</f>
        <v/>
      </c>
      <c r="E80" s="16"/>
      <c r="F80" s="5" t="str">
        <f>IFERROR(VLOOKUP(E80,'Chemical data ref sheet'!$A$1:$E$163,3,FALSE),"")</f>
        <v/>
      </c>
      <c r="G80" s="5"/>
      <c r="H80" s="5" t="str">
        <f>IFERROR(VLOOKUP(E80,'Chemical data ref sheet'!$A$1:$E$163,4,FALSE),"")</f>
        <v/>
      </c>
      <c r="I80" s="5" t="str">
        <f>IFERROR(VLOOKUP(E80,'Chemical data ref sheet'!$A$1:$E$163,5,FALSE),"")</f>
        <v/>
      </c>
      <c r="J80" s="7"/>
      <c r="K80" s="7"/>
      <c r="L80" s="290"/>
      <c r="M80" s="7"/>
      <c r="N80" s="7"/>
      <c r="O80" s="7"/>
      <c r="P80" s="133">
        <f>SUMIFS('Product samples'!E:E, 'Product samples'!A:A, B80)</f>
        <v>0</v>
      </c>
      <c r="Q80" s="134">
        <f t="shared" si="6"/>
        <v>0</v>
      </c>
      <c r="R80" s="57" t="str">
        <f t="shared" si="70"/>
        <v/>
      </c>
      <c r="S80" s="135" t="str">
        <f t="shared" si="71"/>
        <v/>
      </c>
      <c r="T80" s="132" t="str">
        <f t="shared" si="7"/>
        <v/>
      </c>
      <c r="U80" s="32" t="str">
        <f t="shared" si="8"/>
        <v/>
      </c>
      <c r="V80" s="135" t="str">
        <f t="shared" si="9"/>
        <v/>
      </c>
      <c r="W80" s="136" t="str">
        <f t="shared" si="10"/>
        <v/>
      </c>
      <c r="X80" s="136" t="str">
        <f t="shared" si="11"/>
        <v/>
      </c>
      <c r="Y80" s="136" t="str">
        <f t="shared" si="72"/>
        <v/>
      </c>
      <c r="Z80" s="136" t="str">
        <f t="shared" si="73"/>
        <v/>
      </c>
      <c r="AA80" s="137" t="str">
        <f t="shared" si="12"/>
        <v/>
      </c>
      <c r="AB80" s="135" t="str">
        <f t="shared" si="13"/>
        <v/>
      </c>
      <c r="AC80" s="135" t="str">
        <f t="shared" si="14"/>
        <v/>
      </c>
      <c r="AD80" s="136" t="str">
        <f t="shared" si="15"/>
        <v/>
      </c>
      <c r="AE80" s="136" t="str">
        <f t="shared" si="16"/>
        <v/>
      </c>
      <c r="AF80" s="136" t="str">
        <f t="shared" si="74"/>
        <v/>
      </c>
      <c r="AG80" s="136" t="str">
        <f t="shared" si="75"/>
        <v/>
      </c>
      <c r="AH80" s="137" t="str">
        <f t="shared" si="17"/>
        <v/>
      </c>
      <c r="AI80" s="135" t="str">
        <f t="shared" si="18"/>
        <v/>
      </c>
      <c r="AJ80" s="135" t="str">
        <f t="shared" si="19"/>
        <v/>
      </c>
      <c r="AK80" s="31" t="str">
        <f t="shared" si="20"/>
        <v/>
      </c>
      <c r="AL80" s="31" t="str">
        <f t="shared" si="21"/>
        <v/>
      </c>
    </row>
    <row r="81" spans="4:38" x14ac:dyDescent="0.25">
      <c r="D81" s="5" t="str">
        <f>IFERROR(VLOOKUP(E81,'Chemical data ref sheet'!$A$1:$E$163,2,FALSE),"")</f>
        <v/>
      </c>
      <c r="E81" s="16"/>
      <c r="F81" s="5" t="str">
        <f>IFERROR(VLOOKUP(E81,'Chemical data ref sheet'!$A$1:$E$163,3,FALSE),"")</f>
        <v/>
      </c>
      <c r="G81" s="5"/>
      <c r="H81" s="5" t="str">
        <f>IFERROR(VLOOKUP(E81,'Chemical data ref sheet'!$A$1:$E$163,4,FALSE),"")</f>
        <v/>
      </c>
      <c r="I81" s="5" t="str">
        <f>IFERROR(VLOOKUP(E81,'Chemical data ref sheet'!$A$1:$E$163,5,FALSE),"")</f>
        <v/>
      </c>
      <c r="J81" s="7"/>
      <c r="K81" s="7"/>
      <c r="L81" s="290"/>
      <c r="M81" s="7"/>
      <c r="N81" s="7"/>
      <c r="O81" s="7"/>
      <c r="P81" s="133">
        <f>SUMIFS('Product samples'!E:E, 'Product samples'!A:A, B81)</f>
        <v>0</v>
      </c>
      <c r="Q81" s="134">
        <f t="shared" si="6"/>
        <v>0</v>
      </c>
      <c r="R81" s="57" t="str">
        <f t="shared" si="70"/>
        <v/>
      </c>
      <c r="S81" s="135" t="str">
        <f t="shared" si="71"/>
        <v/>
      </c>
      <c r="T81" s="132" t="str">
        <f t="shared" si="7"/>
        <v/>
      </c>
      <c r="U81" s="32" t="str">
        <f t="shared" si="8"/>
        <v/>
      </c>
      <c r="V81" s="135" t="str">
        <f t="shared" si="9"/>
        <v/>
      </c>
      <c r="W81" s="136" t="str">
        <f t="shared" si="10"/>
        <v/>
      </c>
      <c r="X81" s="136" t="str">
        <f t="shared" si="11"/>
        <v/>
      </c>
      <c r="Y81" s="136" t="str">
        <f t="shared" si="72"/>
        <v/>
      </c>
      <c r="Z81" s="136" t="str">
        <f t="shared" si="73"/>
        <v/>
      </c>
      <c r="AA81" s="137" t="str">
        <f t="shared" si="12"/>
        <v/>
      </c>
      <c r="AB81" s="135" t="str">
        <f t="shared" si="13"/>
        <v/>
      </c>
      <c r="AC81" s="135" t="str">
        <f t="shared" si="14"/>
        <v/>
      </c>
      <c r="AD81" s="136" t="str">
        <f t="shared" si="15"/>
        <v/>
      </c>
      <c r="AE81" s="136" t="str">
        <f t="shared" si="16"/>
        <v/>
      </c>
      <c r="AF81" s="136" t="str">
        <f t="shared" si="74"/>
        <v/>
      </c>
      <c r="AG81" s="136" t="str">
        <f t="shared" si="75"/>
        <v/>
      </c>
      <c r="AH81" s="137" t="str">
        <f t="shared" si="17"/>
        <v/>
      </c>
      <c r="AI81" s="135" t="str">
        <f t="shared" si="18"/>
        <v/>
      </c>
      <c r="AJ81" s="135" t="str">
        <f t="shared" si="19"/>
        <v/>
      </c>
      <c r="AK81" s="31" t="str">
        <f t="shared" si="20"/>
        <v/>
      </c>
      <c r="AL81" s="31" t="str">
        <f t="shared" si="21"/>
        <v/>
      </c>
    </row>
    <row r="82" spans="4:38" x14ac:dyDescent="0.25">
      <c r="D82" s="5" t="str">
        <f>IFERROR(VLOOKUP(E82,'Chemical data ref sheet'!$A$1:$E$163,2,FALSE),"")</f>
        <v/>
      </c>
      <c r="E82" s="16"/>
      <c r="F82" s="5" t="str">
        <f>IFERROR(VLOOKUP(E82,'Chemical data ref sheet'!$A$1:$E$163,3,FALSE),"")</f>
        <v/>
      </c>
      <c r="G82" s="5"/>
      <c r="H82" s="5" t="str">
        <f>IFERROR(VLOOKUP(E82,'Chemical data ref sheet'!$A$1:$E$163,4,FALSE),"")</f>
        <v/>
      </c>
      <c r="I82" s="5" t="str">
        <f>IFERROR(VLOOKUP(E82,'Chemical data ref sheet'!$A$1:$E$163,5,FALSE),"")</f>
        <v/>
      </c>
      <c r="J82" s="7"/>
      <c r="K82" s="7"/>
      <c r="L82" s="290"/>
      <c r="M82" s="7"/>
      <c r="N82" s="7"/>
      <c r="O82" s="7"/>
      <c r="P82" s="133">
        <f>SUMIFS('Product samples'!E:E, 'Product samples'!A:A, B82)</f>
        <v>0</v>
      </c>
      <c r="Q82" s="134">
        <f t="shared" si="6"/>
        <v>0</v>
      </c>
      <c r="R82" s="57" t="str">
        <f t="shared" si="70"/>
        <v/>
      </c>
      <c r="S82" s="135" t="str">
        <f t="shared" si="71"/>
        <v/>
      </c>
      <c r="T82" s="132" t="str">
        <f t="shared" si="7"/>
        <v/>
      </c>
      <c r="U82" s="32" t="str">
        <f t="shared" si="8"/>
        <v/>
      </c>
      <c r="V82" s="135" t="str">
        <f t="shared" si="9"/>
        <v/>
      </c>
      <c r="W82" s="136" t="str">
        <f t="shared" si="10"/>
        <v/>
      </c>
      <c r="X82" s="136" t="str">
        <f t="shared" si="11"/>
        <v/>
      </c>
      <c r="Y82" s="136" t="str">
        <f t="shared" si="72"/>
        <v/>
      </c>
      <c r="Z82" s="136" t="str">
        <f t="shared" si="73"/>
        <v/>
      </c>
      <c r="AA82" s="137" t="str">
        <f t="shared" si="12"/>
        <v/>
      </c>
      <c r="AB82" s="135" t="str">
        <f t="shared" si="13"/>
        <v/>
      </c>
      <c r="AC82" s="135" t="str">
        <f t="shared" si="14"/>
        <v/>
      </c>
      <c r="AD82" s="136" t="str">
        <f t="shared" si="15"/>
        <v/>
      </c>
      <c r="AE82" s="136" t="str">
        <f t="shared" si="16"/>
        <v/>
      </c>
      <c r="AF82" s="136" t="str">
        <f t="shared" si="74"/>
        <v/>
      </c>
      <c r="AG82" s="136" t="str">
        <f t="shared" si="75"/>
        <v/>
      </c>
      <c r="AH82" s="137" t="str">
        <f t="shared" si="17"/>
        <v/>
      </c>
      <c r="AI82" s="135" t="str">
        <f t="shared" si="18"/>
        <v/>
      </c>
      <c r="AJ82" s="135" t="str">
        <f t="shared" si="19"/>
        <v/>
      </c>
      <c r="AK82" s="31" t="str">
        <f t="shared" si="20"/>
        <v/>
      </c>
      <c r="AL82" s="31" t="str">
        <f t="shared" si="21"/>
        <v/>
      </c>
    </row>
    <row r="83" spans="4:38" x14ac:dyDescent="0.25">
      <c r="D83" s="5" t="str">
        <f>IFERROR(VLOOKUP(E83,'Chemical data ref sheet'!$A$1:$E$163,2,FALSE),"")</f>
        <v/>
      </c>
      <c r="E83" s="16"/>
      <c r="F83" s="5" t="str">
        <f>IFERROR(VLOOKUP(E83,'Chemical data ref sheet'!$A$1:$E$163,3,FALSE),"")</f>
        <v/>
      </c>
      <c r="G83" s="5"/>
      <c r="H83" s="5" t="str">
        <f>IFERROR(VLOOKUP(E83,'Chemical data ref sheet'!$A$1:$E$163,4,FALSE),"")</f>
        <v/>
      </c>
      <c r="I83" s="5" t="str">
        <f>IFERROR(VLOOKUP(E83,'Chemical data ref sheet'!$A$1:$E$163,5,FALSE),"")</f>
        <v/>
      </c>
      <c r="J83" s="7"/>
      <c r="K83" s="7"/>
      <c r="L83" s="290"/>
      <c r="M83" s="7"/>
      <c r="N83" s="7"/>
      <c r="O83" s="7"/>
      <c r="P83" s="133">
        <f>SUMIFS('Product samples'!E:E, 'Product samples'!A:A, B83)</f>
        <v>0</v>
      </c>
      <c r="Q83" s="134">
        <f t="shared" si="6"/>
        <v>0</v>
      </c>
      <c r="R83" s="57" t="str">
        <f t="shared" si="70"/>
        <v/>
      </c>
      <c r="S83" s="135" t="str">
        <f t="shared" si="71"/>
        <v/>
      </c>
      <c r="T83" s="132" t="str">
        <f t="shared" si="7"/>
        <v/>
      </c>
      <c r="U83" s="32" t="str">
        <f t="shared" si="8"/>
        <v/>
      </c>
      <c r="V83" s="135" t="str">
        <f t="shared" si="9"/>
        <v/>
      </c>
      <c r="W83" s="136" t="str">
        <f t="shared" si="10"/>
        <v/>
      </c>
      <c r="X83" s="136" t="str">
        <f t="shared" si="11"/>
        <v/>
      </c>
      <c r="Y83" s="136" t="str">
        <f t="shared" si="72"/>
        <v/>
      </c>
      <c r="Z83" s="136" t="str">
        <f t="shared" si="73"/>
        <v/>
      </c>
      <c r="AA83" s="137" t="str">
        <f t="shared" si="12"/>
        <v/>
      </c>
      <c r="AB83" s="135" t="str">
        <f t="shared" si="13"/>
        <v/>
      </c>
      <c r="AC83" s="135" t="str">
        <f t="shared" si="14"/>
        <v/>
      </c>
      <c r="AD83" s="136" t="str">
        <f t="shared" si="15"/>
        <v/>
      </c>
      <c r="AE83" s="136" t="str">
        <f t="shared" si="16"/>
        <v/>
      </c>
      <c r="AF83" s="136" t="str">
        <f t="shared" si="74"/>
        <v/>
      </c>
      <c r="AG83" s="136" t="str">
        <f t="shared" si="75"/>
        <v/>
      </c>
      <c r="AH83" s="137" t="str">
        <f t="shared" si="17"/>
        <v/>
      </c>
      <c r="AI83" s="135" t="str">
        <f t="shared" si="18"/>
        <v/>
      </c>
      <c r="AJ83" s="135" t="str">
        <f t="shared" si="19"/>
        <v/>
      </c>
      <c r="AK83" s="31" t="str">
        <f t="shared" si="20"/>
        <v/>
      </c>
      <c r="AL83" s="31" t="str">
        <f t="shared" si="21"/>
        <v/>
      </c>
    </row>
    <row r="84" spans="4:38" x14ac:dyDescent="0.25">
      <c r="D84" s="5" t="str">
        <f>IFERROR(VLOOKUP(E84,'Chemical data ref sheet'!$A$1:$E$163,2,FALSE),"")</f>
        <v/>
      </c>
      <c r="E84" s="16"/>
      <c r="F84" s="5" t="str">
        <f>IFERROR(VLOOKUP(E84,'Chemical data ref sheet'!$A$1:$E$163,3,FALSE),"")</f>
        <v/>
      </c>
      <c r="G84" s="5"/>
      <c r="H84" s="5" t="str">
        <f>IFERROR(VLOOKUP(E84,'Chemical data ref sheet'!$A$1:$E$163,4,FALSE),"")</f>
        <v/>
      </c>
      <c r="I84" s="5" t="str">
        <f>IFERROR(VLOOKUP(E84,'Chemical data ref sheet'!$A$1:$E$163,5,FALSE),"")</f>
        <v/>
      </c>
      <c r="J84" s="7"/>
      <c r="K84" s="7"/>
      <c r="L84" s="290"/>
      <c r="M84" s="7"/>
      <c r="N84" s="7"/>
      <c r="O84" s="7"/>
      <c r="P84" s="133">
        <f>SUMIFS('Product samples'!E:E, 'Product samples'!A:A, B84)</f>
        <v>0</v>
      </c>
      <c r="Q84" s="134">
        <f t="shared" si="6"/>
        <v>0</v>
      </c>
      <c r="R84" s="57" t="str">
        <f t="shared" si="70"/>
        <v/>
      </c>
      <c r="S84" s="135" t="str">
        <f t="shared" si="71"/>
        <v/>
      </c>
      <c r="T84" s="132" t="str">
        <f t="shared" si="7"/>
        <v/>
      </c>
      <c r="U84" s="32" t="str">
        <f t="shared" si="8"/>
        <v/>
      </c>
      <c r="V84" s="135" t="str">
        <f t="shared" si="9"/>
        <v/>
      </c>
      <c r="W84" s="136" t="str">
        <f t="shared" si="10"/>
        <v/>
      </c>
      <c r="X84" s="136" t="str">
        <f t="shared" si="11"/>
        <v/>
      </c>
      <c r="Y84" s="136" t="str">
        <f t="shared" si="72"/>
        <v/>
      </c>
      <c r="Z84" s="136" t="str">
        <f t="shared" si="73"/>
        <v/>
      </c>
      <c r="AA84" s="137" t="str">
        <f t="shared" si="12"/>
        <v/>
      </c>
      <c r="AB84" s="135" t="str">
        <f t="shared" si="13"/>
        <v/>
      </c>
      <c r="AC84" s="135" t="str">
        <f t="shared" si="14"/>
        <v/>
      </c>
      <c r="AD84" s="136" t="str">
        <f t="shared" si="15"/>
        <v/>
      </c>
      <c r="AE84" s="136" t="str">
        <f t="shared" si="16"/>
        <v/>
      </c>
      <c r="AF84" s="136" t="str">
        <f t="shared" si="74"/>
        <v/>
      </c>
      <c r="AG84" s="136" t="str">
        <f t="shared" si="75"/>
        <v/>
      </c>
      <c r="AH84" s="137" t="str">
        <f t="shared" si="17"/>
        <v/>
      </c>
      <c r="AI84" s="135" t="str">
        <f t="shared" si="18"/>
        <v/>
      </c>
      <c r="AJ84" s="135" t="str">
        <f t="shared" si="19"/>
        <v/>
      </c>
      <c r="AK84" s="31" t="str">
        <f t="shared" si="20"/>
        <v/>
      </c>
      <c r="AL84" s="31" t="str">
        <f t="shared" si="21"/>
        <v/>
      </c>
    </row>
    <row r="85" spans="4:38" x14ac:dyDescent="0.25">
      <c r="D85" s="5" t="str">
        <f>IFERROR(VLOOKUP(E85,'Chemical data ref sheet'!$A$1:$E$163,2,FALSE),"")</f>
        <v/>
      </c>
      <c r="E85" s="16"/>
      <c r="F85" s="5" t="str">
        <f>IFERROR(VLOOKUP(E85,'Chemical data ref sheet'!$A$1:$E$163,3,FALSE),"")</f>
        <v/>
      </c>
      <c r="G85" s="5"/>
      <c r="H85" s="5" t="str">
        <f>IFERROR(VLOOKUP(E85,'Chemical data ref sheet'!$A$1:$E$163,4,FALSE),"")</f>
        <v/>
      </c>
      <c r="I85" s="5" t="str">
        <f>IFERROR(VLOOKUP(E85,'Chemical data ref sheet'!$A$1:$E$163,5,FALSE),"")</f>
        <v/>
      </c>
      <c r="J85" s="7"/>
      <c r="K85" s="7"/>
      <c r="L85" s="290"/>
      <c r="M85" s="7"/>
      <c r="N85" s="7"/>
      <c r="O85" s="7"/>
      <c r="P85" s="133">
        <f>SUMIFS('Product samples'!E:E, 'Product samples'!A:A, B85)</f>
        <v>0</v>
      </c>
      <c r="Q85" s="134">
        <f t="shared" si="6"/>
        <v>0</v>
      </c>
      <c r="R85" s="57" t="str">
        <f t="shared" si="70"/>
        <v/>
      </c>
      <c r="S85" s="135" t="str">
        <f t="shared" si="71"/>
        <v/>
      </c>
      <c r="T85" s="132" t="str">
        <f t="shared" si="7"/>
        <v/>
      </c>
      <c r="U85" s="32" t="str">
        <f t="shared" si="8"/>
        <v/>
      </c>
      <c r="V85" s="135" t="str">
        <f t="shared" si="9"/>
        <v/>
      </c>
      <c r="W85" s="136" t="str">
        <f t="shared" si="10"/>
        <v/>
      </c>
      <c r="X85" s="136" t="str">
        <f t="shared" si="11"/>
        <v/>
      </c>
      <c r="Y85" s="136" t="str">
        <f t="shared" si="72"/>
        <v/>
      </c>
      <c r="Z85" s="136" t="str">
        <f t="shared" si="73"/>
        <v/>
      </c>
      <c r="AA85" s="137" t="str">
        <f t="shared" si="12"/>
        <v/>
      </c>
      <c r="AB85" s="135" t="str">
        <f t="shared" si="13"/>
        <v/>
      </c>
      <c r="AC85" s="135" t="str">
        <f t="shared" si="14"/>
        <v/>
      </c>
      <c r="AD85" s="136" t="str">
        <f t="shared" si="15"/>
        <v/>
      </c>
      <c r="AE85" s="136" t="str">
        <f t="shared" si="16"/>
        <v/>
      </c>
      <c r="AF85" s="136" t="str">
        <f t="shared" si="74"/>
        <v/>
      </c>
      <c r="AG85" s="136" t="str">
        <f t="shared" si="75"/>
        <v/>
      </c>
      <c r="AH85" s="137" t="str">
        <f t="shared" si="17"/>
        <v/>
      </c>
      <c r="AI85" s="135" t="str">
        <f t="shared" si="18"/>
        <v/>
      </c>
      <c r="AJ85" s="135" t="str">
        <f t="shared" si="19"/>
        <v/>
      </c>
      <c r="AK85" s="31" t="str">
        <f t="shared" si="20"/>
        <v/>
      </c>
      <c r="AL85" s="31" t="str">
        <f t="shared" si="21"/>
        <v/>
      </c>
    </row>
    <row r="86" spans="4:38" x14ac:dyDescent="0.25">
      <c r="D86" s="5" t="str">
        <f>IFERROR(VLOOKUP(E86,'Chemical data ref sheet'!$A$1:$E$163,2,FALSE),"")</f>
        <v/>
      </c>
      <c r="E86" s="16"/>
      <c r="F86" s="5" t="str">
        <f>IFERROR(VLOOKUP(E86,'Chemical data ref sheet'!$A$1:$E$163,3,FALSE),"")</f>
        <v/>
      </c>
      <c r="G86" s="5"/>
      <c r="H86" s="5" t="str">
        <f>IFERROR(VLOOKUP(E86,'Chemical data ref sheet'!$A$1:$E$163,4,FALSE),"")</f>
        <v/>
      </c>
      <c r="I86" s="5" t="str">
        <f>IFERROR(VLOOKUP(E86,'Chemical data ref sheet'!$A$1:$E$163,5,FALSE),"")</f>
        <v/>
      </c>
      <c r="J86" s="7"/>
      <c r="K86" s="7"/>
      <c r="L86" s="290"/>
      <c r="M86" s="7"/>
      <c r="N86" s="7"/>
      <c r="O86" s="7"/>
      <c r="P86" s="133">
        <f>SUMIFS('Product samples'!E:E, 'Product samples'!A:A, B86)</f>
        <v>0</v>
      </c>
      <c r="Q86" s="134">
        <f t="shared" si="6"/>
        <v>0</v>
      </c>
      <c r="R86" s="57" t="str">
        <f t="shared" si="70"/>
        <v/>
      </c>
      <c r="S86" s="135" t="str">
        <f t="shared" si="71"/>
        <v/>
      </c>
      <c r="T86" s="132" t="str">
        <f t="shared" si="7"/>
        <v/>
      </c>
      <c r="U86" s="32" t="str">
        <f t="shared" si="8"/>
        <v/>
      </c>
      <c r="V86" s="135" t="str">
        <f t="shared" si="9"/>
        <v/>
      </c>
      <c r="W86" s="136" t="str">
        <f t="shared" si="10"/>
        <v/>
      </c>
      <c r="X86" s="136" t="str">
        <f t="shared" si="11"/>
        <v/>
      </c>
      <c r="Y86" s="136" t="str">
        <f t="shared" si="72"/>
        <v/>
      </c>
      <c r="Z86" s="136" t="str">
        <f t="shared" si="73"/>
        <v/>
      </c>
      <c r="AA86" s="137" t="str">
        <f t="shared" si="12"/>
        <v/>
      </c>
      <c r="AB86" s="135" t="str">
        <f t="shared" si="13"/>
        <v/>
      </c>
      <c r="AC86" s="135" t="str">
        <f t="shared" si="14"/>
        <v/>
      </c>
      <c r="AD86" s="136" t="str">
        <f t="shared" si="15"/>
        <v/>
      </c>
      <c r="AE86" s="136" t="str">
        <f t="shared" si="16"/>
        <v/>
      </c>
      <c r="AF86" s="136" t="str">
        <f t="shared" si="74"/>
        <v/>
      </c>
      <c r="AG86" s="136" t="str">
        <f t="shared" si="75"/>
        <v/>
      </c>
      <c r="AH86" s="137" t="str">
        <f t="shared" si="17"/>
        <v/>
      </c>
      <c r="AI86" s="135" t="str">
        <f t="shared" si="18"/>
        <v/>
      </c>
      <c r="AJ86" s="135" t="str">
        <f t="shared" si="19"/>
        <v/>
      </c>
      <c r="AK86" s="31" t="str">
        <f t="shared" si="20"/>
        <v/>
      </c>
      <c r="AL86" s="31" t="str">
        <f t="shared" si="21"/>
        <v/>
      </c>
    </row>
    <row r="87" spans="4:38" x14ac:dyDescent="0.25">
      <c r="D87" s="5" t="str">
        <f>IFERROR(VLOOKUP(E87,'Chemical data ref sheet'!$A$1:$E$163,2,FALSE),"")</f>
        <v/>
      </c>
      <c r="E87" s="16"/>
      <c r="F87" s="5" t="str">
        <f>IFERROR(VLOOKUP(E87,'Chemical data ref sheet'!$A$1:$E$163,3,FALSE),"")</f>
        <v/>
      </c>
      <c r="G87" s="5"/>
      <c r="H87" s="5" t="str">
        <f>IFERROR(VLOOKUP(E87,'Chemical data ref sheet'!$A$1:$E$163,4,FALSE),"")</f>
        <v/>
      </c>
      <c r="I87" s="5" t="str">
        <f>IFERROR(VLOOKUP(E87,'Chemical data ref sheet'!$A$1:$E$163,5,FALSE),"")</f>
        <v/>
      </c>
      <c r="J87" s="7"/>
      <c r="K87" s="7"/>
      <c r="L87" s="290"/>
      <c r="M87" s="7"/>
      <c r="N87" s="7"/>
      <c r="O87" s="7"/>
      <c r="P87" s="133">
        <f>SUMIFS('Product samples'!E:E, 'Product samples'!A:A, B87)</f>
        <v>0</v>
      </c>
      <c r="Q87" s="134">
        <f t="shared" si="6"/>
        <v>0</v>
      </c>
      <c r="R87" s="57" t="str">
        <f t="shared" si="70"/>
        <v/>
      </c>
      <c r="S87" s="135" t="str">
        <f t="shared" si="71"/>
        <v/>
      </c>
      <c r="T87" s="132" t="str">
        <f t="shared" si="7"/>
        <v/>
      </c>
      <c r="U87" s="32" t="str">
        <f t="shared" si="8"/>
        <v/>
      </c>
      <c r="V87" s="135" t="str">
        <f t="shared" si="9"/>
        <v/>
      </c>
      <c r="W87" s="136" t="str">
        <f t="shared" si="10"/>
        <v/>
      </c>
      <c r="X87" s="136" t="str">
        <f t="shared" si="11"/>
        <v/>
      </c>
      <c r="Y87" s="136" t="str">
        <f t="shared" si="72"/>
        <v/>
      </c>
      <c r="Z87" s="136" t="str">
        <f t="shared" si="73"/>
        <v/>
      </c>
      <c r="AA87" s="137" t="str">
        <f t="shared" si="12"/>
        <v/>
      </c>
      <c r="AB87" s="135" t="str">
        <f t="shared" si="13"/>
        <v/>
      </c>
      <c r="AC87" s="135" t="str">
        <f t="shared" si="14"/>
        <v/>
      </c>
      <c r="AD87" s="136" t="str">
        <f t="shared" si="15"/>
        <v/>
      </c>
      <c r="AE87" s="136" t="str">
        <f t="shared" si="16"/>
        <v/>
      </c>
      <c r="AF87" s="136" t="str">
        <f t="shared" si="74"/>
        <v/>
      </c>
      <c r="AG87" s="136" t="str">
        <f t="shared" si="75"/>
        <v/>
      </c>
      <c r="AH87" s="137" t="str">
        <f t="shared" si="17"/>
        <v/>
      </c>
      <c r="AI87" s="135" t="str">
        <f t="shared" si="18"/>
        <v/>
      </c>
      <c r="AJ87" s="135" t="str">
        <f t="shared" si="19"/>
        <v/>
      </c>
      <c r="AK87" s="31" t="str">
        <f t="shared" si="20"/>
        <v/>
      </c>
      <c r="AL87" s="31" t="str">
        <f t="shared" si="21"/>
        <v/>
      </c>
    </row>
    <row r="88" spans="4:38" x14ac:dyDescent="0.25">
      <c r="D88" s="5" t="str">
        <f>IFERROR(VLOOKUP(E88,'Chemical data ref sheet'!$A$1:$E$163,2,FALSE),"")</f>
        <v/>
      </c>
      <c r="E88" s="16"/>
      <c r="F88" s="5" t="str">
        <f>IFERROR(VLOOKUP(E88,'Chemical data ref sheet'!$A$1:$E$163,3,FALSE),"")</f>
        <v/>
      </c>
      <c r="G88" s="5"/>
      <c r="H88" s="5" t="str">
        <f>IFERROR(VLOOKUP(E88,'Chemical data ref sheet'!$A$1:$E$163,4,FALSE),"")</f>
        <v/>
      </c>
      <c r="I88" s="5" t="str">
        <f>IFERROR(VLOOKUP(E88,'Chemical data ref sheet'!$A$1:$E$163,5,FALSE),"")</f>
        <v/>
      </c>
      <c r="J88" s="7"/>
      <c r="K88" s="7"/>
      <c r="L88" s="290"/>
      <c r="M88" s="7"/>
      <c r="N88" s="7"/>
      <c r="O88" s="7"/>
      <c r="P88" s="133">
        <f>SUMIFS('Product samples'!E:E, 'Product samples'!A:A, B88)</f>
        <v>0</v>
      </c>
      <c r="Q88" s="134">
        <f t="shared" si="6"/>
        <v>0</v>
      </c>
      <c r="R88" s="57" t="str">
        <f t="shared" si="70"/>
        <v/>
      </c>
      <c r="S88" s="135" t="str">
        <f t="shared" si="71"/>
        <v/>
      </c>
      <c r="T88" s="132" t="str">
        <f t="shared" si="7"/>
        <v/>
      </c>
      <c r="U88" s="32" t="str">
        <f t="shared" si="8"/>
        <v/>
      </c>
      <c r="V88" s="135" t="str">
        <f t="shared" si="9"/>
        <v/>
      </c>
      <c r="W88" s="136" t="str">
        <f t="shared" si="10"/>
        <v/>
      </c>
      <c r="X88" s="136" t="str">
        <f t="shared" si="11"/>
        <v/>
      </c>
      <c r="Y88" s="136" t="str">
        <f t="shared" si="72"/>
        <v/>
      </c>
      <c r="Z88" s="136" t="str">
        <f t="shared" si="73"/>
        <v/>
      </c>
      <c r="AA88" s="137" t="str">
        <f t="shared" si="12"/>
        <v/>
      </c>
      <c r="AB88" s="135" t="str">
        <f t="shared" si="13"/>
        <v/>
      </c>
      <c r="AC88" s="135" t="str">
        <f t="shared" si="14"/>
        <v/>
      </c>
      <c r="AD88" s="136" t="str">
        <f t="shared" si="15"/>
        <v/>
      </c>
      <c r="AE88" s="136" t="str">
        <f t="shared" si="16"/>
        <v/>
      </c>
      <c r="AF88" s="136" t="str">
        <f t="shared" si="74"/>
        <v/>
      </c>
      <c r="AG88" s="136" t="str">
        <f t="shared" si="75"/>
        <v/>
      </c>
      <c r="AH88" s="137" t="str">
        <f t="shared" si="17"/>
        <v/>
      </c>
      <c r="AI88" s="135" t="str">
        <f t="shared" si="18"/>
        <v/>
      </c>
      <c r="AJ88" s="135" t="str">
        <f t="shared" si="19"/>
        <v/>
      </c>
      <c r="AK88" s="31" t="str">
        <f t="shared" si="20"/>
        <v/>
      </c>
      <c r="AL88" s="31" t="str">
        <f t="shared" si="21"/>
        <v/>
      </c>
    </row>
    <row r="89" spans="4:38" x14ac:dyDescent="0.25">
      <c r="D89" s="5" t="str">
        <f>IFERROR(VLOOKUP(E89,'Chemical data ref sheet'!$A$1:$E$163,2,FALSE),"")</f>
        <v/>
      </c>
      <c r="E89" s="16"/>
      <c r="F89" s="5" t="str">
        <f>IFERROR(VLOOKUP(E89,'Chemical data ref sheet'!$A$1:$E$163,3,FALSE),"")</f>
        <v/>
      </c>
      <c r="G89" s="5"/>
      <c r="H89" s="5" t="str">
        <f>IFERROR(VLOOKUP(E89,'Chemical data ref sheet'!$A$1:$E$163,4,FALSE),"")</f>
        <v/>
      </c>
      <c r="I89" s="5" t="str">
        <f>IFERROR(VLOOKUP(E89,'Chemical data ref sheet'!$A$1:$E$163,5,FALSE),"")</f>
        <v/>
      </c>
      <c r="J89" s="7"/>
      <c r="K89" s="7"/>
      <c r="L89" s="290"/>
      <c r="M89" s="7"/>
      <c r="N89" s="7"/>
      <c r="O89" s="7"/>
      <c r="P89" s="133">
        <f>SUMIFS('Product samples'!E:E, 'Product samples'!A:A, B89)</f>
        <v>0</v>
      </c>
      <c r="Q89" s="134">
        <f t="shared" si="6"/>
        <v>0</v>
      </c>
      <c r="R89" s="57" t="str">
        <f t="shared" si="70"/>
        <v/>
      </c>
      <c r="S89" s="135" t="str">
        <f t="shared" si="71"/>
        <v/>
      </c>
      <c r="T89" s="132" t="str">
        <f t="shared" si="7"/>
        <v/>
      </c>
      <c r="U89" s="32" t="str">
        <f t="shared" si="8"/>
        <v/>
      </c>
      <c r="V89" s="135" t="str">
        <f t="shared" si="9"/>
        <v/>
      </c>
      <c r="W89" s="136" t="str">
        <f t="shared" si="10"/>
        <v/>
      </c>
      <c r="X89" s="136" t="str">
        <f t="shared" si="11"/>
        <v/>
      </c>
      <c r="Y89" s="136" t="str">
        <f t="shared" si="72"/>
        <v/>
      </c>
      <c r="Z89" s="136" t="str">
        <f t="shared" si="73"/>
        <v/>
      </c>
      <c r="AA89" s="137" t="str">
        <f t="shared" si="12"/>
        <v/>
      </c>
      <c r="AB89" s="135" t="str">
        <f t="shared" si="13"/>
        <v/>
      </c>
      <c r="AC89" s="135" t="str">
        <f t="shared" si="14"/>
        <v/>
      </c>
      <c r="AD89" s="136" t="str">
        <f t="shared" si="15"/>
        <v/>
      </c>
      <c r="AE89" s="136" t="str">
        <f t="shared" si="16"/>
        <v/>
      </c>
      <c r="AF89" s="136" t="str">
        <f t="shared" si="74"/>
        <v/>
      </c>
      <c r="AG89" s="136" t="str">
        <f t="shared" si="75"/>
        <v/>
      </c>
      <c r="AH89" s="137" t="str">
        <f t="shared" si="17"/>
        <v/>
      </c>
      <c r="AI89" s="135" t="str">
        <f t="shared" si="18"/>
        <v/>
      </c>
      <c r="AJ89" s="135" t="str">
        <f t="shared" si="19"/>
        <v/>
      </c>
      <c r="AK89" s="31" t="str">
        <f t="shared" si="20"/>
        <v/>
      </c>
      <c r="AL89" s="31" t="str">
        <f t="shared" si="21"/>
        <v/>
      </c>
    </row>
    <row r="90" spans="4:38" x14ac:dyDescent="0.25">
      <c r="D90" s="5" t="str">
        <f>IFERROR(VLOOKUP(E90,'Chemical data ref sheet'!$A$1:$E$163,2,FALSE),"")</f>
        <v/>
      </c>
      <c r="E90" s="16"/>
      <c r="F90" s="5" t="str">
        <f>IFERROR(VLOOKUP(E90,'Chemical data ref sheet'!$A$1:$E$163,3,FALSE),"")</f>
        <v/>
      </c>
      <c r="G90" s="5"/>
      <c r="H90" s="5" t="str">
        <f>IFERROR(VLOOKUP(E90,'Chemical data ref sheet'!$A$1:$E$163,4,FALSE),"")</f>
        <v/>
      </c>
      <c r="I90" s="5" t="str">
        <f>IFERROR(VLOOKUP(E90,'Chemical data ref sheet'!$A$1:$E$163,5,FALSE),"")</f>
        <v/>
      </c>
      <c r="J90" s="7"/>
      <c r="K90" s="7"/>
      <c r="L90" s="290"/>
      <c r="M90" s="7"/>
      <c r="N90" s="7"/>
      <c r="O90" s="7"/>
      <c r="P90" s="133">
        <f>SUMIFS('Product samples'!E:E, 'Product samples'!A:A, B90)</f>
        <v>0</v>
      </c>
      <c r="Q90" s="134">
        <f t="shared" si="6"/>
        <v>0</v>
      </c>
      <c r="R90" s="57" t="str">
        <f t="shared" si="70"/>
        <v/>
      </c>
      <c r="S90" s="135" t="str">
        <f t="shared" si="71"/>
        <v/>
      </c>
      <c r="T90" s="132" t="str">
        <f t="shared" si="7"/>
        <v/>
      </c>
      <c r="U90" s="32" t="str">
        <f t="shared" si="8"/>
        <v/>
      </c>
      <c r="V90" s="135" t="str">
        <f t="shared" si="9"/>
        <v/>
      </c>
      <c r="W90" s="136" t="str">
        <f t="shared" si="10"/>
        <v/>
      </c>
      <c r="X90" s="136" t="str">
        <f t="shared" si="11"/>
        <v/>
      </c>
      <c r="Y90" s="136" t="str">
        <f t="shared" si="72"/>
        <v/>
      </c>
      <c r="Z90" s="136" t="str">
        <f t="shared" si="73"/>
        <v/>
      </c>
      <c r="AA90" s="137" t="str">
        <f t="shared" si="12"/>
        <v/>
      </c>
      <c r="AB90" s="135" t="str">
        <f t="shared" si="13"/>
        <v/>
      </c>
      <c r="AC90" s="135" t="str">
        <f t="shared" si="14"/>
        <v/>
      </c>
      <c r="AD90" s="136" t="str">
        <f t="shared" si="15"/>
        <v/>
      </c>
      <c r="AE90" s="136" t="str">
        <f t="shared" si="16"/>
        <v/>
      </c>
      <c r="AF90" s="136" t="str">
        <f t="shared" si="74"/>
        <v/>
      </c>
      <c r="AG90" s="136" t="str">
        <f t="shared" si="75"/>
        <v/>
      </c>
      <c r="AH90" s="137" t="str">
        <f t="shared" si="17"/>
        <v/>
      </c>
      <c r="AI90" s="135" t="str">
        <f t="shared" si="18"/>
        <v/>
      </c>
      <c r="AJ90" s="135" t="str">
        <f t="shared" si="19"/>
        <v/>
      </c>
      <c r="AK90" s="31" t="str">
        <f t="shared" si="20"/>
        <v/>
      </c>
      <c r="AL90" s="31" t="str">
        <f t="shared" si="21"/>
        <v/>
      </c>
    </row>
    <row r="91" spans="4:38" x14ac:dyDescent="0.25">
      <c r="D91" s="5" t="str">
        <f>IFERROR(VLOOKUP(E91,'Chemical data ref sheet'!$A$1:$E$163,2,FALSE),"")</f>
        <v/>
      </c>
      <c r="E91" s="16"/>
      <c r="F91" s="5" t="str">
        <f>IFERROR(VLOOKUP(E91,'Chemical data ref sheet'!$A$1:$E$163,3,FALSE),"")</f>
        <v/>
      </c>
      <c r="G91" s="5"/>
      <c r="H91" s="5" t="str">
        <f>IFERROR(VLOOKUP(E91,'Chemical data ref sheet'!$A$1:$E$163,4,FALSE),"")</f>
        <v/>
      </c>
      <c r="I91" s="5" t="str">
        <f>IFERROR(VLOOKUP(E91,'Chemical data ref sheet'!$A$1:$E$163,5,FALSE),"")</f>
        <v/>
      </c>
      <c r="J91" s="7"/>
      <c r="K91" s="7"/>
      <c r="L91" s="290"/>
      <c r="M91" s="7"/>
      <c r="N91" s="7"/>
      <c r="O91" s="7"/>
      <c r="P91" s="133">
        <f>SUMIFS('Product samples'!E:E, 'Product samples'!A:A, B91)</f>
        <v>0</v>
      </c>
      <c r="Q91" s="134">
        <f t="shared" si="6"/>
        <v>0</v>
      </c>
      <c r="R91" s="57" t="str">
        <f t="shared" si="70"/>
        <v/>
      </c>
      <c r="S91" s="135" t="str">
        <f t="shared" si="71"/>
        <v/>
      </c>
      <c r="T91" s="132" t="str">
        <f t="shared" si="7"/>
        <v/>
      </c>
      <c r="U91" s="32" t="str">
        <f t="shared" si="8"/>
        <v/>
      </c>
      <c r="V91" s="135" t="str">
        <f t="shared" si="9"/>
        <v/>
      </c>
      <c r="W91" s="136" t="str">
        <f t="shared" si="10"/>
        <v/>
      </c>
      <c r="X91" s="136" t="str">
        <f t="shared" si="11"/>
        <v/>
      </c>
      <c r="Y91" s="136" t="str">
        <f t="shared" si="72"/>
        <v/>
      </c>
      <c r="Z91" s="136" t="str">
        <f t="shared" si="73"/>
        <v/>
      </c>
      <c r="AA91" s="137" t="str">
        <f t="shared" si="12"/>
        <v/>
      </c>
      <c r="AB91" s="135" t="str">
        <f t="shared" si="13"/>
        <v/>
      </c>
      <c r="AC91" s="135" t="str">
        <f t="shared" si="14"/>
        <v/>
      </c>
      <c r="AD91" s="136" t="str">
        <f t="shared" si="15"/>
        <v/>
      </c>
      <c r="AE91" s="136" t="str">
        <f t="shared" si="16"/>
        <v/>
      </c>
      <c r="AF91" s="136" t="str">
        <f t="shared" si="74"/>
        <v/>
      </c>
      <c r="AG91" s="136" t="str">
        <f t="shared" si="75"/>
        <v/>
      </c>
      <c r="AH91" s="137" t="str">
        <f t="shared" si="17"/>
        <v/>
      </c>
      <c r="AI91" s="135" t="str">
        <f t="shared" si="18"/>
        <v/>
      </c>
      <c r="AJ91" s="135" t="str">
        <f t="shared" si="19"/>
        <v/>
      </c>
      <c r="AK91" s="31" t="str">
        <f t="shared" si="20"/>
        <v/>
      </c>
      <c r="AL91" s="31" t="str">
        <f t="shared" si="21"/>
        <v/>
      </c>
    </row>
    <row r="92" spans="4:38" x14ac:dyDescent="0.25">
      <c r="D92" s="5" t="str">
        <f>IFERROR(VLOOKUP(E92,'Chemical data ref sheet'!$A$1:$E$163,2,FALSE),"")</f>
        <v/>
      </c>
      <c r="E92" s="16"/>
      <c r="F92" s="5" t="str">
        <f>IFERROR(VLOOKUP(E92,'Chemical data ref sheet'!$A$1:$E$163,3,FALSE),"")</f>
        <v/>
      </c>
      <c r="G92" s="5"/>
      <c r="H92" s="5" t="str">
        <f>IFERROR(VLOOKUP(E92,'Chemical data ref sheet'!$A$1:$E$163,4,FALSE),"")</f>
        <v/>
      </c>
      <c r="I92" s="5" t="str">
        <f>IFERROR(VLOOKUP(E92,'Chemical data ref sheet'!$A$1:$E$163,5,FALSE),"")</f>
        <v/>
      </c>
      <c r="J92" s="7"/>
      <c r="K92" s="7"/>
      <c r="L92" s="290"/>
      <c r="M92" s="7"/>
      <c r="N92" s="7"/>
      <c r="O92" s="7"/>
      <c r="P92" s="133">
        <f>SUMIFS('Product samples'!E:E, 'Product samples'!A:A, B92)</f>
        <v>0</v>
      </c>
      <c r="Q92" s="134">
        <f t="shared" si="6"/>
        <v>0</v>
      </c>
      <c r="R92" s="57" t="str">
        <f t="shared" si="70"/>
        <v/>
      </c>
      <c r="S92" s="135" t="str">
        <f t="shared" si="71"/>
        <v/>
      </c>
      <c r="T92" s="132" t="str">
        <f t="shared" si="7"/>
        <v/>
      </c>
      <c r="U92" s="32" t="str">
        <f t="shared" si="8"/>
        <v/>
      </c>
      <c r="V92" s="135" t="str">
        <f t="shared" si="9"/>
        <v/>
      </c>
      <c r="W92" s="136" t="str">
        <f t="shared" si="10"/>
        <v/>
      </c>
      <c r="X92" s="136" t="str">
        <f t="shared" si="11"/>
        <v/>
      </c>
      <c r="Y92" s="136" t="str">
        <f t="shared" si="72"/>
        <v/>
      </c>
      <c r="Z92" s="136" t="str">
        <f t="shared" si="73"/>
        <v/>
      </c>
      <c r="AA92" s="137" t="str">
        <f t="shared" si="12"/>
        <v/>
      </c>
      <c r="AB92" s="135" t="str">
        <f t="shared" si="13"/>
        <v/>
      </c>
      <c r="AC92" s="135" t="str">
        <f t="shared" si="14"/>
        <v/>
      </c>
      <c r="AD92" s="136" t="str">
        <f t="shared" si="15"/>
        <v/>
      </c>
      <c r="AE92" s="136" t="str">
        <f t="shared" si="16"/>
        <v/>
      </c>
      <c r="AF92" s="136" t="str">
        <f t="shared" si="74"/>
        <v/>
      </c>
      <c r="AG92" s="136" t="str">
        <f t="shared" si="75"/>
        <v/>
      </c>
      <c r="AH92" s="137" t="str">
        <f t="shared" si="17"/>
        <v/>
      </c>
      <c r="AI92" s="135" t="str">
        <f t="shared" si="18"/>
        <v/>
      </c>
      <c r="AJ92" s="135" t="str">
        <f t="shared" si="19"/>
        <v/>
      </c>
      <c r="AK92" s="31" t="str">
        <f t="shared" si="20"/>
        <v/>
      </c>
      <c r="AL92" s="31" t="str">
        <f t="shared" si="21"/>
        <v/>
      </c>
    </row>
    <row r="93" spans="4:38" x14ac:dyDescent="0.25">
      <c r="D93" s="5" t="str">
        <f>IFERROR(VLOOKUP(E93,'Chemical data ref sheet'!$A$1:$E$163,2,FALSE),"")</f>
        <v/>
      </c>
      <c r="E93" s="16"/>
      <c r="F93" s="5" t="str">
        <f>IFERROR(VLOOKUP(E93,'Chemical data ref sheet'!$A$1:$E$163,3,FALSE),"")</f>
        <v/>
      </c>
      <c r="G93" s="5"/>
      <c r="H93" s="5" t="str">
        <f>IFERROR(VLOOKUP(E93,'Chemical data ref sheet'!$A$1:$E$163,4,FALSE),"")</f>
        <v/>
      </c>
      <c r="I93" s="5" t="str">
        <f>IFERROR(VLOOKUP(E93,'Chemical data ref sheet'!$A$1:$E$163,5,FALSE),"")</f>
        <v/>
      </c>
      <c r="J93" s="7"/>
      <c r="K93" s="7"/>
      <c r="L93" s="290"/>
      <c r="M93" s="7"/>
      <c r="N93" s="7"/>
      <c r="O93" s="7"/>
      <c r="P93" s="133">
        <f>SUMIFS('Product samples'!E:E, 'Product samples'!A:A, B93)</f>
        <v>0</v>
      </c>
      <c r="Q93" s="134">
        <f t="shared" si="6"/>
        <v>0</v>
      </c>
      <c r="R93" s="57" t="str">
        <f t="shared" si="70"/>
        <v/>
      </c>
      <c r="S93" s="135" t="str">
        <f t="shared" si="71"/>
        <v/>
      </c>
      <c r="T93" s="132" t="str">
        <f t="shared" si="7"/>
        <v/>
      </c>
      <c r="U93" s="32" t="str">
        <f t="shared" si="8"/>
        <v/>
      </c>
      <c r="V93" s="135" t="str">
        <f t="shared" si="9"/>
        <v/>
      </c>
      <c r="W93" s="136" t="str">
        <f t="shared" si="10"/>
        <v/>
      </c>
      <c r="X93" s="136" t="str">
        <f t="shared" si="11"/>
        <v/>
      </c>
      <c r="Y93" s="136" t="str">
        <f t="shared" si="72"/>
        <v/>
      </c>
      <c r="Z93" s="136" t="str">
        <f t="shared" si="73"/>
        <v/>
      </c>
      <c r="AA93" s="137" t="str">
        <f t="shared" si="12"/>
        <v/>
      </c>
      <c r="AB93" s="135" t="str">
        <f t="shared" si="13"/>
        <v/>
      </c>
      <c r="AC93" s="135" t="str">
        <f t="shared" si="14"/>
        <v/>
      </c>
      <c r="AD93" s="136" t="str">
        <f t="shared" si="15"/>
        <v/>
      </c>
      <c r="AE93" s="136" t="str">
        <f t="shared" si="16"/>
        <v/>
      </c>
      <c r="AF93" s="136" t="str">
        <f t="shared" si="74"/>
        <v/>
      </c>
      <c r="AG93" s="136" t="str">
        <f t="shared" si="75"/>
        <v/>
      </c>
      <c r="AH93" s="137" t="str">
        <f t="shared" si="17"/>
        <v/>
      </c>
      <c r="AI93" s="135" t="str">
        <f t="shared" si="18"/>
        <v/>
      </c>
      <c r="AJ93" s="135" t="str">
        <f t="shared" si="19"/>
        <v/>
      </c>
      <c r="AK93" s="31" t="str">
        <f t="shared" si="20"/>
        <v/>
      </c>
      <c r="AL93" s="31" t="str">
        <f t="shared" si="21"/>
        <v/>
      </c>
    </row>
    <row r="94" spans="4:38" x14ac:dyDescent="0.25">
      <c r="D94" s="5" t="str">
        <f>IFERROR(VLOOKUP(E94,'Chemical data ref sheet'!$A$1:$E$163,2,FALSE),"")</f>
        <v/>
      </c>
      <c r="E94" s="16"/>
      <c r="F94" s="5" t="str">
        <f>IFERROR(VLOOKUP(E94,'Chemical data ref sheet'!$A$1:$E$163,3,FALSE),"")</f>
        <v/>
      </c>
      <c r="G94" s="5"/>
      <c r="H94" s="5" t="str">
        <f>IFERROR(VLOOKUP(E94,'Chemical data ref sheet'!$A$1:$E$163,4,FALSE),"")</f>
        <v/>
      </c>
      <c r="I94" s="5" t="str">
        <f>IFERROR(VLOOKUP(E94,'Chemical data ref sheet'!$A$1:$E$163,5,FALSE),"")</f>
        <v/>
      </c>
      <c r="J94" s="7"/>
      <c r="K94" s="7"/>
      <c r="L94" s="290"/>
      <c r="M94" s="7"/>
      <c r="N94" s="7"/>
      <c r="O94" s="7"/>
      <c r="P94" s="133">
        <f>SUMIFS('Product samples'!E:E, 'Product samples'!A:A, B94)</f>
        <v>0</v>
      </c>
      <c r="Q94" s="134">
        <f t="shared" si="6"/>
        <v>0</v>
      </c>
      <c r="R94" s="57" t="str">
        <f t="shared" si="70"/>
        <v/>
      </c>
      <c r="S94" s="135" t="str">
        <f t="shared" si="71"/>
        <v/>
      </c>
      <c r="T94" s="132" t="str">
        <f t="shared" si="7"/>
        <v/>
      </c>
      <c r="U94" s="32" t="str">
        <f t="shared" si="8"/>
        <v/>
      </c>
      <c r="V94" s="135" t="str">
        <f t="shared" si="9"/>
        <v/>
      </c>
      <c r="W94" s="136" t="str">
        <f t="shared" si="10"/>
        <v/>
      </c>
      <c r="X94" s="136" t="str">
        <f t="shared" si="11"/>
        <v/>
      </c>
      <c r="Y94" s="136" t="str">
        <f t="shared" si="72"/>
        <v/>
      </c>
      <c r="Z94" s="136" t="str">
        <f t="shared" si="73"/>
        <v/>
      </c>
      <c r="AA94" s="137" t="str">
        <f t="shared" si="12"/>
        <v/>
      </c>
      <c r="AB94" s="135" t="str">
        <f t="shared" si="13"/>
        <v/>
      </c>
      <c r="AC94" s="135" t="str">
        <f t="shared" si="14"/>
        <v/>
      </c>
      <c r="AD94" s="136" t="str">
        <f t="shared" si="15"/>
        <v/>
      </c>
      <c r="AE94" s="136" t="str">
        <f t="shared" si="16"/>
        <v/>
      </c>
      <c r="AF94" s="136" t="str">
        <f t="shared" si="74"/>
        <v/>
      </c>
      <c r="AG94" s="136" t="str">
        <f t="shared" si="75"/>
        <v/>
      </c>
      <c r="AH94" s="137" t="str">
        <f t="shared" si="17"/>
        <v/>
      </c>
      <c r="AI94" s="135" t="str">
        <f t="shared" si="18"/>
        <v/>
      </c>
      <c r="AJ94" s="135" t="str">
        <f t="shared" si="19"/>
        <v/>
      </c>
      <c r="AK94" s="31" t="str">
        <f t="shared" si="20"/>
        <v/>
      </c>
      <c r="AL94" s="31" t="str">
        <f t="shared" si="21"/>
        <v/>
      </c>
    </row>
    <row r="95" spans="4:38" x14ac:dyDescent="0.25">
      <c r="D95" s="5" t="str">
        <f>IFERROR(VLOOKUP(E95,'Chemical data ref sheet'!$A$1:$E$163,2,FALSE),"")</f>
        <v/>
      </c>
      <c r="E95" s="16"/>
      <c r="F95" s="5" t="str">
        <f>IFERROR(VLOOKUP(E95,'Chemical data ref sheet'!$A$1:$E$163,3,FALSE),"")</f>
        <v/>
      </c>
      <c r="G95" s="5"/>
      <c r="H95" s="5" t="str">
        <f>IFERROR(VLOOKUP(E95,'Chemical data ref sheet'!$A$1:$E$163,4,FALSE),"")</f>
        <v/>
      </c>
      <c r="I95" s="5" t="str">
        <f>IFERROR(VLOOKUP(E95,'Chemical data ref sheet'!$A$1:$E$163,5,FALSE),"")</f>
        <v/>
      </c>
      <c r="J95" s="7"/>
      <c r="K95" s="7"/>
      <c r="L95" s="290"/>
      <c r="M95" s="7"/>
      <c r="N95" s="7"/>
      <c r="O95" s="7"/>
      <c r="P95" s="133">
        <f>SUMIFS('Product samples'!E:E, 'Product samples'!A:A, B95)</f>
        <v>0</v>
      </c>
      <c r="Q95" s="134">
        <f t="shared" si="6"/>
        <v>0</v>
      </c>
      <c r="R95" s="57" t="str">
        <f t="shared" si="70"/>
        <v/>
      </c>
      <c r="S95" s="135" t="str">
        <f t="shared" si="71"/>
        <v/>
      </c>
      <c r="T95" s="132" t="str">
        <f t="shared" si="7"/>
        <v/>
      </c>
      <c r="U95" s="32" t="str">
        <f t="shared" si="8"/>
        <v/>
      </c>
      <c r="V95" s="135" t="str">
        <f t="shared" si="9"/>
        <v/>
      </c>
      <c r="W95" s="136" t="str">
        <f t="shared" si="10"/>
        <v/>
      </c>
      <c r="X95" s="136" t="str">
        <f t="shared" si="11"/>
        <v/>
      </c>
      <c r="Y95" s="136" t="str">
        <f t="shared" si="72"/>
        <v/>
      </c>
      <c r="Z95" s="136" t="str">
        <f t="shared" si="73"/>
        <v/>
      </c>
      <c r="AA95" s="137" t="str">
        <f t="shared" si="12"/>
        <v/>
      </c>
      <c r="AB95" s="135" t="str">
        <f t="shared" si="13"/>
        <v/>
      </c>
      <c r="AC95" s="135" t="str">
        <f t="shared" si="14"/>
        <v/>
      </c>
      <c r="AD95" s="136" t="str">
        <f t="shared" si="15"/>
        <v/>
      </c>
      <c r="AE95" s="136" t="str">
        <f t="shared" si="16"/>
        <v/>
      </c>
      <c r="AF95" s="136" t="str">
        <f t="shared" si="74"/>
        <v/>
      </c>
      <c r="AG95" s="136" t="str">
        <f t="shared" si="75"/>
        <v/>
      </c>
      <c r="AH95" s="137" t="str">
        <f t="shared" si="17"/>
        <v/>
      </c>
      <c r="AI95" s="135" t="str">
        <f t="shared" si="18"/>
        <v/>
      </c>
      <c r="AJ95" s="135" t="str">
        <f t="shared" si="19"/>
        <v/>
      </c>
      <c r="AK95" s="31" t="str">
        <f t="shared" si="20"/>
        <v/>
      </c>
      <c r="AL95" s="31" t="str">
        <f t="shared" si="21"/>
        <v/>
      </c>
    </row>
    <row r="96" spans="4:38" x14ac:dyDescent="0.25">
      <c r="D96" s="5" t="str">
        <f>IFERROR(VLOOKUP(E96,'Chemical data ref sheet'!$A$1:$E$163,2,FALSE),"")</f>
        <v/>
      </c>
      <c r="E96" s="16"/>
      <c r="F96" s="5" t="str">
        <f>IFERROR(VLOOKUP(E96,'Chemical data ref sheet'!$A$1:$E$163,3,FALSE),"")</f>
        <v/>
      </c>
      <c r="G96" s="5"/>
      <c r="H96" s="5" t="str">
        <f>IFERROR(VLOOKUP(E96,'Chemical data ref sheet'!$A$1:$E$163,4,FALSE),"")</f>
        <v/>
      </c>
      <c r="I96" s="5" t="str">
        <f>IFERROR(VLOOKUP(E96,'Chemical data ref sheet'!$A$1:$E$163,5,FALSE),"")</f>
        <v/>
      </c>
      <c r="J96" s="7"/>
      <c r="K96" s="7"/>
      <c r="L96" s="290"/>
      <c r="M96" s="7"/>
      <c r="N96" s="7"/>
      <c r="O96" s="7"/>
      <c r="P96" s="133">
        <f>SUMIFS('Product samples'!E:E, 'Product samples'!A:A, B96)</f>
        <v>0</v>
      </c>
      <c r="Q96" s="134">
        <f t="shared" si="6"/>
        <v>0</v>
      </c>
      <c r="R96" s="57" t="str">
        <f t="shared" si="70"/>
        <v/>
      </c>
      <c r="S96" s="135" t="str">
        <f t="shared" si="71"/>
        <v/>
      </c>
      <c r="T96" s="132" t="str">
        <f t="shared" si="7"/>
        <v/>
      </c>
      <c r="U96" s="32" t="str">
        <f t="shared" si="8"/>
        <v/>
      </c>
      <c r="V96" s="135" t="str">
        <f t="shared" si="9"/>
        <v/>
      </c>
      <c r="W96" s="136" t="str">
        <f t="shared" si="10"/>
        <v/>
      </c>
      <c r="X96" s="136" t="str">
        <f t="shared" si="11"/>
        <v/>
      </c>
      <c r="Y96" s="136" t="str">
        <f t="shared" si="72"/>
        <v/>
      </c>
      <c r="Z96" s="136" t="str">
        <f t="shared" si="73"/>
        <v/>
      </c>
      <c r="AA96" s="137" t="str">
        <f t="shared" si="12"/>
        <v/>
      </c>
      <c r="AB96" s="135" t="str">
        <f t="shared" si="13"/>
        <v/>
      </c>
      <c r="AC96" s="135" t="str">
        <f t="shared" si="14"/>
        <v/>
      </c>
      <c r="AD96" s="136" t="str">
        <f t="shared" si="15"/>
        <v/>
      </c>
      <c r="AE96" s="136" t="str">
        <f t="shared" si="16"/>
        <v/>
      </c>
      <c r="AF96" s="136" t="str">
        <f t="shared" si="74"/>
        <v/>
      </c>
      <c r="AG96" s="136" t="str">
        <f t="shared" si="75"/>
        <v/>
      </c>
      <c r="AH96" s="137" t="str">
        <f t="shared" si="17"/>
        <v/>
      </c>
      <c r="AI96" s="135" t="str">
        <f t="shared" si="18"/>
        <v/>
      </c>
      <c r="AJ96" s="135" t="str">
        <f t="shared" si="19"/>
        <v/>
      </c>
      <c r="AK96" s="31" t="str">
        <f t="shared" si="20"/>
        <v/>
      </c>
      <c r="AL96" s="31" t="str">
        <f t="shared" si="21"/>
        <v/>
      </c>
    </row>
    <row r="97" spans="4:38" x14ac:dyDescent="0.25">
      <c r="D97" s="5" t="str">
        <f>IFERROR(VLOOKUP(E97,'Chemical data ref sheet'!$A$1:$E$163,2,FALSE),"")</f>
        <v/>
      </c>
      <c r="E97" s="16"/>
      <c r="F97" s="5" t="str">
        <f>IFERROR(VLOOKUP(E97,'Chemical data ref sheet'!$A$1:$E$163,3,FALSE),"")</f>
        <v/>
      </c>
      <c r="G97" s="5"/>
      <c r="H97" s="5" t="str">
        <f>IFERROR(VLOOKUP(E97,'Chemical data ref sheet'!$A$1:$E$163,4,FALSE),"")</f>
        <v/>
      </c>
      <c r="I97" s="5" t="str">
        <f>IFERROR(VLOOKUP(E97,'Chemical data ref sheet'!$A$1:$E$163,5,FALSE),"")</f>
        <v/>
      </c>
      <c r="J97" s="7"/>
      <c r="K97" s="7"/>
      <c r="L97" s="290"/>
      <c r="M97" s="7"/>
      <c r="N97" s="7"/>
      <c r="O97" s="7"/>
      <c r="P97" s="133">
        <f>SUMIFS('Product samples'!E:E, 'Product samples'!A:A, B97)</f>
        <v>0</v>
      </c>
      <c r="Q97" s="134">
        <f t="shared" si="6"/>
        <v>0</v>
      </c>
      <c r="R97" s="57" t="str">
        <f t="shared" si="70"/>
        <v/>
      </c>
      <c r="S97" s="135" t="str">
        <f t="shared" si="71"/>
        <v/>
      </c>
      <c r="T97" s="132" t="str">
        <f t="shared" si="7"/>
        <v/>
      </c>
      <c r="U97" s="32" t="str">
        <f t="shared" si="8"/>
        <v/>
      </c>
      <c r="V97" s="135" t="str">
        <f t="shared" si="9"/>
        <v/>
      </c>
      <c r="W97" s="136" t="str">
        <f t="shared" si="10"/>
        <v/>
      </c>
      <c r="X97" s="136" t="str">
        <f t="shared" si="11"/>
        <v/>
      </c>
      <c r="Y97" s="136" t="str">
        <f t="shared" si="72"/>
        <v/>
      </c>
      <c r="Z97" s="136" t="str">
        <f t="shared" si="73"/>
        <v/>
      </c>
      <c r="AA97" s="137" t="str">
        <f t="shared" si="12"/>
        <v/>
      </c>
      <c r="AB97" s="135" t="str">
        <f t="shared" si="13"/>
        <v/>
      </c>
      <c r="AC97" s="135" t="str">
        <f t="shared" si="14"/>
        <v/>
      </c>
      <c r="AD97" s="136" t="str">
        <f t="shared" si="15"/>
        <v/>
      </c>
      <c r="AE97" s="136" t="str">
        <f t="shared" si="16"/>
        <v/>
      </c>
      <c r="AF97" s="136" t="str">
        <f t="shared" si="74"/>
        <v/>
      </c>
      <c r="AG97" s="136" t="str">
        <f t="shared" si="75"/>
        <v/>
      </c>
      <c r="AH97" s="137" t="str">
        <f t="shared" si="17"/>
        <v/>
      </c>
      <c r="AI97" s="135" t="str">
        <f t="shared" si="18"/>
        <v/>
      </c>
      <c r="AJ97" s="135" t="str">
        <f t="shared" si="19"/>
        <v/>
      </c>
      <c r="AK97" s="31" t="str">
        <f t="shared" si="20"/>
        <v/>
      </c>
      <c r="AL97" s="31" t="str">
        <f t="shared" si="21"/>
        <v/>
      </c>
    </row>
    <row r="98" spans="4:38" x14ac:dyDescent="0.25">
      <c r="D98" s="5" t="str">
        <f>IFERROR(VLOOKUP(E98,'Chemical data ref sheet'!$A$1:$E$163,2,FALSE),"")</f>
        <v/>
      </c>
      <c r="E98" s="16"/>
      <c r="F98" s="5" t="str">
        <f>IFERROR(VLOOKUP(E98,'Chemical data ref sheet'!$A$1:$E$163,3,FALSE),"")</f>
        <v/>
      </c>
      <c r="G98" s="5"/>
      <c r="H98" s="5" t="str">
        <f>IFERROR(VLOOKUP(E98,'Chemical data ref sheet'!$A$1:$E$163,4,FALSE),"")</f>
        <v/>
      </c>
      <c r="I98" s="5" t="str">
        <f>IFERROR(VLOOKUP(E98,'Chemical data ref sheet'!$A$1:$E$163,5,FALSE),"")</f>
        <v/>
      </c>
      <c r="J98" s="7"/>
      <c r="K98" s="7"/>
      <c r="L98" s="290"/>
      <c r="M98" s="7"/>
      <c r="N98" s="7"/>
      <c r="O98" s="7"/>
      <c r="P98" s="133">
        <f>SUMIFS('Product samples'!E:E, 'Product samples'!A:A, B98)</f>
        <v>0</v>
      </c>
      <c r="Q98" s="134">
        <f t="shared" si="6"/>
        <v>0</v>
      </c>
      <c r="R98" s="57" t="str">
        <f t="shared" si="70"/>
        <v/>
      </c>
      <c r="S98" s="135" t="str">
        <f t="shared" si="71"/>
        <v/>
      </c>
      <c r="T98" s="132" t="str">
        <f t="shared" si="7"/>
        <v/>
      </c>
      <c r="U98" s="32" t="str">
        <f t="shared" si="8"/>
        <v/>
      </c>
      <c r="V98" s="135" t="str">
        <f t="shared" si="9"/>
        <v/>
      </c>
      <c r="W98" s="136" t="str">
        <f t="shared" si="10"/>
        <v/>
      </c>
      <c r="X98" s="136" t="str">
        <f t="shared" si="11"/>
        <v/>
      </c>
      <c r="Y98" s="136" t="str">
        <f t="shared" si="72"/>
        <v/>
      </c>
      <c r="Z98" s="136" t="str">
        <f t="shared" si="73"/>
        <v/>
      </c>
      <c r="AA98" s="137" t="str">
        <f t="shared" si="12"/>
        <v/>
      </c>
      <c r="AB98" s="135" t="str">
        <f t="shared" si="13"/>
        <v/>
      </c>
      <c r="AC98" s="135" t="str">
        <f t="shared" si="14"/>
        <v/>
      </c>
      <c r="AD98" s="136" t="str">
        <f t="shared" si="15"/>
        <v/>
      </c>
      <c r="AE98" s="136" t="str">
        <f t="shared" si="16"/>
        <v/>
      </c>
      <c r="AF98" s="136" t="str">
        <f t="shared" si="74"/>
        <v/>
      </c>
      <c r="AG98" s="136" t="str">
        <f t="shared" si="75"/>
        <v/>
      </c>
      <c r="AH98" s="137" t="str">
        <f t="shared" si="17"/>
        <v/>
      </c>
      <c r="AI98" s="135" t="str">
        <f t="shared" si="18"/>
        <v/>
      </c>
      <c r="AJ98" s="135" t="str">
        <f t="shared" si="19"/>
        <v/>
      </c>
      <c r="AK98" s="31" t="str">
        <f t="shared" si="20"/>
        <v/>
      </c>
      <c r="AL98" s="31" t="str">
        <f t="shared" si="21"/>
        <v/>
      </c>
    </row>
    <row r="99" spans="4:38" x14ac:dyDescent="0.25">
      <c r="D99" s="5" t="str">
        <f>IFERROR(VLOOKUP(E99,'Chemical data ref sheet'!$A$1:$E$163,2,FALSE),"")</f>
        <v/>
      </c>
      <c r="E99" s="16"/>
      <c r="F99" s="5" t="str">
        <f>IFERROR(VLOOKUP(E99,'Chemical data ref sheet'!$A$1:$E$163,3,FALSE),"")</f>
        <v/>
      </c>
      <c r="G99" s="5"/>
      <c r="H99" s="5" t="str">
        <f>IFERROR(VLOOKUP(E99,'Chemical data ref sheet'!$A$1:$E$163,4,FALSE),"")</f>
        <v/>
      </c>
      <c r="I99" s="5" t="str">
        <f>IFERROR(VLOOKUP(E99,'Chemical data ref sheet'!$A$1:$E$163,5,FALSE),"")</f>
        <v/>
      </c>
      <c r="J99" s="7"/>
      <c r="K99" s="7"/>
      <c r="L99" s="290"/>
      <c r="M99" s="7"/>
      <c r="N99" s="7"/>
      <c r="O99" s="7"/>
      <c r="P99" s="133">
        <f>SUMIFS('Product samples'!E:E, 'Product samples'!A:A, B99)</f>
        <v>0</v>
      </c>
      <c r="Q99" s="134">
        <f t="shared" si="6"/>
        <v>0</v>
      </c>
      <c r="R99" s="57" t="str">
        <f t="shared" si="70"/>
        <v/>
      </c>
      <c r="S99" s="135" t="str">
        <f t="shared" si="71"/>
        <v/>
      </c>
      <c r="T99" s="132" t="str">
        <f t="shared" si="7"/>
        <v/>
      </c>
      <c r="U99" s="32" t="str">
        <f t="shared" si="8"/>
        <v/>
      </c>
      <c r="V99" s="135" t="str">
        <f t="shared" si="9"/>
        <v/>
      </c>
      <c r="W99" s="136" t="str">
        <f t="shared" si="10"/>
        <v/>
      </c>
      <c r="X99" s="136" t="str">
        <f t="shared" si="11"/>
        <v/>
      </c>
      <c r="Y99" s="136" t="str">
        <f t="shared" si="72"/>
        <v/>
      </c>
      <c r="Z99" s="136" t="str">
        <f t="shared" si="73"/>
        <v/>
      </c>
      <c r="AA99" s="137" t="str">
        <f t="shared" si="12"/>
        <v/>
      </c>
      <c r="AB99" s="135" t="str">
        <f t="shared" si="13"/>
        <v/>
      </c>
      <c r="AC99" s="135" t="str">
        <f t="shared" si="14"/>
        <v/>
      </c>
      <c r="AD99" s="136" t="str">
        <f t="shared" si="15"/>
        <v/>
      </c>
      <c r="AE99" s="136" t="str">
        <f t="shared" si="16"/>
        <v/>
      </c>
      <c r="AF99" s="136" t="str">
        <f t="shared" si="74"/>
        <v/>
      </c>
      <c r="AG99" s="136" t="str">
        <f t="shared" si="75"/>
        <v/>
      </c>
      <c r="AH99" s="137" t="str">
        <f t="shared" si="17"/>
        <v/>
      </c>
      <c r="AI99" s="135" t="str">
        <f t="shared" si="18"/>
        <v/>
      </c>
      <c r="AJ99" s="135" t="str">
        <f t="shared" si="19"/>
        <v/>
      </c>
      <c r="AK99" s="31" t="str">
        <f t="shared" si="20"/>
        <v/>
      </c>
      <c r="AL99" s="31" t="str">
        <f t="shared" si="21"/>
        <v/>
      </c>
    </row>
    <row r="100" spans="4:38" x14ac:dyDescent="0.25">
      <c r="D100" s="5" t="str">
        <f>IFERROR(VLOOKUP(E100,'Chemical data ref sheet'!$A$1:$E$163,2,FALSE),"")</f>
        <v/>
      </c>
      <c r="E100" s="16"/>
      <c r="F100" s="5" t="str">
        <f>IFERROR(VLOOKUP(E100,'Chemical data ref sheet'!$A$1:$E$163,3,FALSE),"")</f>
        <v/>
      </c>
      <c r="G100" s="5"/>
      <c r="H100" s="5" t="str">
        <f>IFERROR(VLOOKUP(E100,'Chemical data ref sheet'!$A$1:$E$163,4,FALSE),"")</f>
        <v/>
      </c>
      <c r="I100" s="5" t="str">
        <f>IFERROR(VLOOKUP(E100,'Chemical data ref sheet'!$A$1:$E$163,5,FALSE),"")</f>
        <v/>
      </c>
      <c r="J100" s="7"/>
      <c r="K100" s="7"/>
      <c r="L100" s="290"/>
      <c r="M100" s="7"/>
      <c r="N100" s="7"/>
      <c r="O100" s="7"/>
      <c r="P100" s="133">
        <f>SUMIFS('Product samples'!E:E, 'Product samples'!A:A, B100)</f>
        <v>0</v>
      </c>
      <c r="Q100" s="134">
        <f t="shared" si="6"/>
        <v>0</v>
      </c>
      <c r="R100" s="57" t="str">
        <f t="shared" si="70"/>
        <v/>
      </c>
      <c r="S100" s="135" t="str">
        <f t="shared" si="71"/>
        <v/>
      </c>
      <c r="T100" s="132" t="str">
        <f t="shared" si="7"/>
        <v/>
      </c>
      <c r="U100" s="32" t="str">
        <f t="shared" si="8"/>
        <v/>
      </c>
      <c r="V100" s="135" t="str">
        <f t="shared" si="9"/>
        <v/>
      </c>
      <c r="W100" s="136" t="str">
        <f t="shared" si="10"/>
        <v/>
      </c>
      <c r="X100" s="136" t="str">
        <f t="shared" si="11"/>
        <v/>
      </c>
      <c r="Y100" s="136" t="str">
        <f t="shared" si="72"/>
        <v/>
      </c>
      <c r="Z100" s="136" t="str">
        <f t="shared" si="73"/>
        <v/>
      </c>
      <c r="AA100" s="137" t="str">
        <f t="shared" si="12"/>
        <v/>
      </c>
      <c r="AB100" s="135" t="str">
        <f t="shared" si="13"/>
        <v/>
      </c>
      <c r="AC100" s="135" t="str">
        <f t="shared" si="14"/>
        <v/>
      </c>
      <c r="AD100" s="136" t="str">
        <f t="shared" si="15"/>
        <v/>
      </c>
      <c r="AE100" s="136" t="str">
        <f t="shared" si="16"/>
        <v/>
      </c>
      <c r="AF100" s="136" t="str">
        <f t="shared" si="74"/>
        <v/>
      </c>
      <c r="AG100" s="136" t="str">
        <f t="shared" si="75"/>
        <v/>
      </c>
      <c r="AH100" s="137" t="str">
        <f t="shared" si="17"/>
        <v/>
      </c>
      <c r="AI100" s="135" t="str">
        <f t="shared" si="18"/>
        <v/>
      </c>
      <c r="AJ100" s="135" t="str">
        <f t="shared" si="19"/>
        <v/>
      </c>
      <c r="AK100" s="31" t="str">
        <f t="shared" si="20"/>
        <v/>
      </c>
      <c r="AL100" s="31" t="str">
        <f t="shared" si="21"/>
        <v/>
      </c>
    </row>
    <row r="101" spans="4:38" x14ac:dyDescent="0.25">
      <c r="D101" s="5" t="str">
        <f>IFERROR(VLOOKUP(E101,'Chemical data ref sheet'!$A$1:$E$163,2,FALSE),"")</f>
        <v/>
      </c>
      <c r="E101" s="16"/>
      <c r="F101" s="5" t="str">
        <f>IFERROR(VLOOKUP(E101,'Chemical data ref sheet'!$A$1:$E$163,3,FALSE),"")</f>
        <v/>
      </c>
      <c r="G101" s="5"/>
      <c r="H101" s="5" t="str">
        <f>IFERROR(VLOOKUP(E101,'Chemical data ref sheet'!$A$1:$E$163,4,FALSE),"")</f>
        <v/>
      </c>
      <c r="I101" s="5" t="str">
        <f>IFERROR(VLOOKUP(E101,'Chemical data ref sheet'!$A$1:$E$163,5,FALSE),"")</f>
        <v/>
      </c>
      <c r="J101" s="7"/>
      <c r="K101" s="7"/>
      <c r="L101" s="290"/>
      <c r="M101" s="7"/>
      <c r="N101" s="7"/>
      <c r="O101" s="7"/>
      <c r="P101" s="133">
        <f>SUMIFS('Product samples'!E:E, 'Product samples'!A:A, B101)</f>
        <v>0</v>
      </c>
      <c r="Q101" s="134">
        <f t="shared" si="6"/>
        <v>0</v>
      </c>
      <c r="R101" s="57" t="str">
        <f t="shared" si="70"/>
        <v/>
      </c>
      <c r="S101" s="135" t="str">
        <f t="shared" si="71"/>
        <v/>
      </c>
      <c r="T101" s="132" t="str">
        <f t="shared" si="7"/>
        <v/>
      </c>
      <c r="U101" s="32" t="str">
        <f t="shared" si="8"/>
        <v/>
      </c>
      <c r="V101" s="135" t="str">
        <f t="shared" si="9"/>
        <v/>
      </c>
      <c r="W101" s="136" t="str">
        <f t="shared" si="10"/>
        <v/>
      </c>
      <c r="X101" s="136" t="str">
        <f t="shared" si="11"/>
        <v/>
      </c>
      <c r="Y101" s="136" t="str">
        <f t="shared" si="72"/>
        <v/>
      </c>
      <c r="Z101" s="136" t="str">
        <f t="shared" si="73"/>
        <v/>
      </c>
      <c r="AA101" s="137" t="str">
        <f t="shared" si="12"/>
        <v/>
      </c>
      <c r="AB101" s="135" t="str">
        <f t="shared" si="13"/>
        <v/>
      </c>
      <c r="AC101" s="135" t="str">
        <f t="shared" si="14"/>
        <v/>
      </c>
      <c r="AD101" s="136" t="str">
        <f t="shared" si="15"/>
        <v/>
      </c>
      <c r="AE101" s="136" t="str">
        <f t="shared" si="16"/>
        <v/>
      </c>
      <c r="AF101" s="136" t="str">
        <f t="shared" si="74"/>
        <v/>
      </c>
      <c r="AG101" s="136" t="str">
        <f t="shared" si="75"/>
        <v/>
      </c>
      <c r="AH101" s="137" t="str">
        <f t="shared" si="17"/>
        <v/>
      </c>
      <c r="AI101" s="135" t="str">
        <f t="shared" si="18"/>
        <v/>
      </c>
      <c r="AJ101" s="135" t="str">
        <f t="shared" si="19"/>
        <v/>
      </c>
      <c r="AK101" s="31" t="str">
        <f t="shared" si="20"/>
        <v/>
      </c>
      <c r="AL101" s="31" t="str">
        <f t="shared" si="21"/>
        <v/>
      </c>
    </row>
    <row r="102" spans="4:38" x14ac:dyDescent="0.25">
      <c r="D102" s="5" t="str">
        <f>IFERROR(VLOOKUP(E102,'Chemical data ref sheet'!$A$1:$E$163,2,FALSE),"")</f>
        <v/>
      </c>
      <c r="E102" s="16"/>
      <c r="F102" s="5" t="str">
        <f>IFERROR(VLOOKUP(E102,'Chemical data ref sheet'!$A$1:$E$163,3,FALSE),"")</f>
        <v/>
      </c>
      <c r="G102" s="5"/>
      <c r="H102" s="5" t="str">
        <f>IFERROR(VLOOKUP(E102,'Chemical data ref sheet'!$A$1:$E$163,4,FALSE),"")</f>
        <v/>
      </c>
      <c r="I102" s="5" t="str">
        <f>IFERROR(VLOOKUP(E102,'Chemical data ref sheet'!$A$1:$E$163,5,FALSE),"")</f>
        <v/>
      </c>
      <c r="J102" s="7"/>
      <c r="K102" s="7"/>
      <c r="L102" s="290"/>
      <c r="M102" s="7"/>
      <c r="N102" s="7"/>
      <c r="O102" s="7"/>
      <c r="P102" s="133">
        <f>SUMIFS('Product samples'!E:E, 'Product samples'!A:A, B102)</f>
        <v>0</v>
      </c>
      <c r="Q102" s="134">
        <f t="shared" si="6"/>
        <v>0</v>
      </c>
      <c r="R102" s="57" t="str">
        <f t="shared" si="70"/>
        <v/>
      </c>
      <c r="S102" s="135" t="str">
        <f t="shared" si="71"/>
        <v/>
      </c>
      <c r="T102" s="132" t="str">
        <f t="shared" si="7"/>
        <v/>
      </c>
      <c r="U102" s="32" t="str">
        <f t="shared" si="8"/>
        <v/>
      </c>
      <c r="V102" s="135" t="str">
        <f t="shared" si="9"/>
        <v/>
      </c>
      <c r="W102" s="136" t="str">
        <f t="shared" si="10"/>
        <v/>
      </c>
      <c r="X102" s="136" t="str">
        <f t="shared" si="11"/>
        <v/>
      </c>
      <c r="Y102" s="136" t="str">
        <f t="shared" si="72"/>
        <v/>
      </c>
      <c r="Z102" s="136" t="str">
        <f t="shared" si="73"/>
        <v/>
      </c>
      <c r="AA102" s="137" t="str">
        <f t="shared" si="12"/>
        <v/>
      </c>
      <c r="AB102" s="135" t="str">
        <f t="shared" si="13"/>
        <v/>
      </c>
      <c r="AC102" s="135" t="str">
        <f t="shared" si="14"/>
        <v/>
      </c>
      <c r="AD102" s="136" t="str">
        <f t="shared" si="15"/>
        <v/>
      </c>
      <c r="AE102" s="136" t="str">
        <f t="shared" si="16"/>
        <v/>
      </c>
      <c r="AF102" s="136" t="str">
        <f t="shared" si="74"/>
        <v/>
      </c>
      <c r="AG102" s="136" t="str">
        <f t="shared" si="75"/>
        <v/>
      </c>
      <c r="AH102" s="137" t="str">
        <f t="shared" si="17"/>
        <v/>
      </c>
      <c r="AI102" s="135" t="str">
        <f t="shared" si="18"/>
        <v/>
      </c>
      <c r="AJ102" s="135" t="str">
        <f t="shared" si="19"/>
        <v/>
      </c>
      <c r="AK102" s="31" t="str">
        <f t="shared" si="20"/>
        <v/>
      </c>
      <c r="AL102" s="31" t="str">
        <f t="shared" si="21"/>
        <v/>
      </c>
    </row>
    <row r="103" spans="4:38" x14ac:dyDescent="0.25">
      <c r="D103" s="5" t="str">
        <f>IFERROR(VLOOKUP(E103,'Chemical data ref sheet'!$A$1:$E$163,2,FALSE),"")</f>
        <v/>
      </c>
      <c r="E103" s="16"/>
      <c r="F103" s="5" t="str">
        <f>IFERROR(VLOOKUP(E103,'Chemical data ref sheet'!$A$1:$E$163,3,FALSE),"")</f>
        <v/>
      </c>
      <c r="G103" s="5"/>
      <c r="H103" s="5" t="str">
        <f>IFERROR(VLOOKUP(E103,'Chemical data ref sheet'!$A$1:$E$163,4,FALSE),"")</f>
        <v/>
      </c>
      <c r="I103" s="5" t="str">
        <f>IFERROR(VLOOKUP(E103,'Chemical data ref sheet'!$A$1:$E$163,5,FALSE),"")</f>
        <v/>
      </c>
      <c r="J103" s="7"/>
      <c r="K103" s="7"/>
      <c r="L103" s="290"/>
      <c r="M103" s="7"/>
      <c r="N103" s="7"/>
      <c r="O103" s="7"/>
      <c r="P103" s="133">
        <f>SUMIFS('Product samples'!E:E, 'Product samples'!A:A, B103)</f>
        <v>0</v>
      </c>
      <c r="Q103" s="134">
        <f t="shared" si="6"/>
        <v>0</v>
      </c>
      <c r="R103" s="57" t="str">
        <f t="shared" si="70"/>
        <v/>
      </c>
      <c r="S103" s="135" t="str">
        <f t="shared" si="71"/>
        <v/>
      </c>
      <c r="T103" s="132" t="str">
        <f t="shared" si="7"/>
        <v/>
      </c>
      <c r="U103" s="32" t="str">
        <f t="shared" si="8"/>
        <v/>
      </c>
      <c r="V103" s="135" t="str">
        <f t="shared" si="9"/>
        <v/>
      </c>
      <c r="W103" s="136" t="str">
        <f t="shared" si="10"/>
        <v/>
      </c>
      <c r="X103" s="136" t="str">
        <f t="shared" si="11"/>
        <v/>
      </c>
      <c r="Y103" s="136" t="str">
        <f t="shared" si="72"/>
        <v/>
      </c>
      <c r="Z103" s="136" t="str">
        <f t="shared" si="73"/>
        <v/>
      </c>
      <c r="AA103" s="137" t="str">
        <f t="shared" si="12"/>
        <v/>
      </c>
      <c r="AB103" s="135" t="str">
        <f t="shared" si="13"/>
        <v/>
      </c>
      <c r="AC103" s="135" t="str">
        <f t="shared" si="14"/>
        <v/>
      </c>
      <c r="AD103" s="136" t="str">
        <f t="shared" si="15"/>
        <v/>
      </c>
      <c r="AE103" s="136" t="str">
        <f t="shared" si="16"/>
        <v/>
      </c>
      <c r="AF103" s="136" t="str">
        <f t="shared" si="74"/>
        <v/>
      </c>
      <c r="AG103" s="136" t="str">
        <f t="shared" si="75"/>
        <v/>
      </c>
      <c r="AH103" s="137" t="str">
        <f t="shared" si="17"/>
        <v/>
      </c>
      <c r="AI103" s="135" t="str">
        <f t="shared" si="18"/>
        <v/>
      </c>
      <c r="AJ103" s="135" t="str">
        <f t="shared" si="19"/>
        <v/>
      </c>
      <c r="AK103" s="31" t="str">
        <f t="shared" si="20"/>
        <v/>
      </c>
      <c r="AL103" s="31" t="str">
        <f t="shared" si="21"/>
        <v/>
      </c>
    </row>
    <row r="104" spans="4:38" x14ac:dyDescent="0.25">
      <c r="D104" s="5" t="str">
        <f>IFERROR(VLOOKUP(E104,'Chemical data ref sheet'!$A$1:$E$163,2,FALSE),"")</f>
        <v/>
      </c>
      <c r="E104" s="16"/>
      <c r="F104" s="5" t="str">
        <f>IFERROR(VLOOKUP(E104,'Chemical data ref sheet'!$A$1:$E$163,3,FALSE),"")</f>
        <v/>
      </c>
      <c r="G104" s="5"/>
      <c r="H104" s="5" t="str">
        <f>IFERROR(VLOOKUP(E104,'Chemical data ref sheet'!$A$1:$E$163,4,FALSE),"")</f>
        <v/>
      </c>
      <c r="I104" s="5" t="str">
        <f>IFERROR(VLOOKUP(E104,'Chemical data ref sheet'!$A$1:$E$163,5,FALSE),"")</f>
        <v/>
      </c>
      <c r="J104" s="7"/>
      <c r="K104" s="7"/>
      <c r="L104" s="290"/>
      <c r="M104" s="7"/>
      <c r="N104" s="7"/>
      <c r="O104" s="7"/>
      <c r="P104" s="133">
        <f>SUMIFS('Product samples'!E:E, 'Product samples'!A:A, B104)</f>
        <v>0</v>
      </c>
      <c r="Q104" s="134">
        <f t="shared" ref="Q104:Q167" si="76">IFERROR((P104/1000)/H104,0)</f>
        <v>0</v>
      </c>
      <c r="R104" s="57" t="str">
        <f t="shared" si="70"/>
        <v/>
      </c>
      <c r="S104" s="135" t="str">
        <f t="shared" si="71"/>
        <v/>
      </c>
      <c r="T104" s="132" t="str">
        <f t="shared" ref="T104:T167" si="77">IF(AM104&lt;&gt;"",AM104/H104,IF(AND(C104=D104,C104&lt;&gt;""),R104,IF(O104&lt;&gt;"",O104*R104,IF(J104&lt;&gt;"",J104*R104,""))))</f>
        <v/>
      </c>
      <c r="U104" s="32" t="str">
        <f t="shared" ref="U104:U167" si="78">IF(AND(H104&lt;&gt;"",T104&lt;&gt;""),T104*H104,IF(L104&lt;&gt;"",S104*L104,""))</f>
        <v/>
      </c>
      <c r="V104" s="135" t="str">
        <f t="shared" ref="V104:V167" si="79">IFERROR(IF(AND(U104&lt;&gt;"",I104&lt;&gt;""),U104/I104,IF(AND(S104&lt;&gt;"",K104&lt;&gt;""),K104*S104,"")),"")</f>
        <v/>
      </c>
      <c r="W104" s="136" t="str">
        <f t="shared" ref="W104:W167" si="80">IFERROR(IF(B104&lt;&gt;"",T104-Q104,""),"")</f>
        <v/>
      </c>
      <c r="X104" s="136" t="str">
        <f t="shared" ref="X104:X167" si="81">IFERROR(IF(B104&lt;&gt;"",U104-(P104/1000),""),"")</f>
        <v/>
      </c>
      <c r="Y104" s="136" t="str">
        <f t="shared" si="72"/>
        <v/>
      </c>
      <c r="Z104" s="136" t="str">
        <f t="shared" si="73"/>
        <v/>
      </c>
      <c r="AA104" s="137" t="str">
        <f t="shared" ref="AA104:AA167" si="82">IF(AM104&lt;&gt;"",AM104/H104,IF(AND(C104=D104,C104&lt;&gt;""),Y104,IF(M104&lt;&gt;"",M104*Y104,IF(J104&lt;&gt;"",J104*Y104,""))))</f>
        <v/>
      </c>
      <c r="AB104" s="135" t="str">
        <f t="shared" ref="AB104:AB167" si="83">IF(AND(H104&lt;&gt;"",AA104&lt;&gt;""),AA104*H104,IF(L104&lt;&gt;"",Z104*L104,""))</f>
        <v/>
      </c>
      <c r="AC104" s="135" t="str">
        <f t="shared" ref="AC104:AC167" si="84">IFERROR(IF(AND(AB104&lt;&gt;"",I104&lt;&gt;""),AB104/I104,IF(AND(Z104&lt;&gt;"",K104&lt;&gt;""),K104*Z104,"")),"")</f>
        <v/>
      </c>
      <c r="AD104" s="136" t="str">
        <f t="shared" ref="AD104:AD167" si="85">IFERROR(IF(B104&lt;&gt;"",AA104-Q104,""),"")</f>
        <v/>
      </c>
      <c r="AE104" s="136" t="str">
        <f t="shared" ref="AE104:AE167" si="86">IFERROR(IF(B104&lt;&gt;"",AB104-(P104/1000),""),"")</f>
        <v/>
      </c>
      <c r="AF104" s="136" t="str">
        <f t="shared" si="74"/>
        <v/>
      </c>
      <c r="AG104" s="136" t="str">
        <f t="shared" si="75"/>
        <v/>
      </c>
      <c r="AH104" s="137" t="str">
        <f t="shared" ref="AH104:AH167" si="87">IF(AM104&lt;&gt;"",AM104/H104,IF(AND(C104=D104,C104&lt;&gt;""),AF104,IF(N104&lt;&gt;"",N104*AF104,IF(J104&lt;&gt;"",J104*AF104,""))))</f>
        <v/>
      </c>
      <c r="AI104" s="135" t="str">
        <f t="shared" ref="AI104:AI167" si="88">IF(AND(H104&lt;&gt;"",AH104&lt;&gt;""),AH104*H104,IF(L104&lt;&gt;"",AG104*L104,""))</f>
        <v/>
      </c>
      <c r="AJ104" s="135" t="str">
        <f t="shared" ref="AJ104:AJ167" si="89">IFERROR(IF(AND(AI104&lt;&gt;"",I104&lt;&gt;""),AI104/I104,IF(AND(AG104&lt;&gt;"",K104&lt;&gt;""),K104*AG104,"")),"")</f>
        <v/>
      </c>
      <c r="AK104" s="31" t="str">
        <f t="shared" si="20"/>
        <v/>
      </c>
      <c r="AL104" s="31" t="str">
        <f t="shared" si="21"/>
        <v/>
      </c>
    </row>
    <row r="105" spans="4:38" x14ac:dyDescent="0.25">
      <c r="D105" s="5" t="str">
        <f>IFERROR(VLOOKUP(E105,'Chemical data ref sheet'!$A$1:$E$163,2,FALSE),"")</f>
        <v/>
      </c>
      <c r="E105" s="16"/>
      <c r="F105" s="5" t="str">
        <f>IFERROR(VLOOKUP(E105,'Chemical data ref sheet'!$A$1:$E$163,3,FALSE),"")</f>
        <v/>
      </c>
      <c r="G105" s="5"/>
      <c r="H105" s="5" t="str">
        <f>IFERROR(VLOOKUP(E105,'Chemical data ref sheet'!$A$1:$E$163,4,FALSE),"")</f>
        <v/>
      </c>
      <c r="I105" s="5" t="str">
        <f>IFERROR(VLOOKUP(E105,'Chemical data ref sheet'!$A$1:$E$163,5,FALSE),"")</f>
        <v/>
      </c>
      <c r="J105" s="7"/>
      <c r="K105" s="7"/>
      <c r="L105" s="290"/>
      <c r="M105" s="7"/>
      <c r="N105" s="7"/>
      <c r="O105" s="7"/>
      <c r="P105" s="133">
        <f>SUMIFS('Product samples'!E:E, 'Product samples'!A:A, B105)</f>
        <v>0</v>
      </c>
      <c r="Q105" s="134">
        <f t="shared" si="76"/>
        <v>0</v>
      </c>
      <c r="R105" s="57" t="str">
        <f t="shared" si="70"/>
        <v/>
      </c>
      <c r="S105" s="135" t="str">
        <f t="shared" si="71"/>
        <v/>
      </c>
      <c r="T105" s="132" t="str">
        <f t="shared" si="77"/>
        <v/>
      </c>
      <c r="U105" s="32" t="str">
        <f t="shared" si="78"/>
        <v/>
      </c>
      <c r="V105" s="135" t="str">
        <f t="shared" si="79"/>
        <v/>
      </c>
      <c r="W105" s="136" t="str">
        <f t="shared" si="80"/>
        <v/>
      </c>
      <c r="X105" s="136" t="str">
        <f t="shared" si="81"/>
        <v/>
      </c>
      <c r="Y105" s="136" t="str">
        <f t="shared" si="72"/>
        <v/>
      </c>
      <c r="Z105" s="136" t="str">
        <f t="shared" si="73"/>
        <v/>
      </c>
      <c r="AA105" s="137" t="str">
        <f t="shared" si="82"/>
        <v/>
      </c>
      <c r="AB105" s="135" t="str">
        <f t="shared" si="83"/>
        <v/>
      </c>
      <c r="AC105" s="135" t="str">
        <f t="shared" si="84"/>
        <v/>
      </c>
      <c r="AD105" s="136" t="str">
        <f t="shared" si="85"/>
        <v/>
      </c>
      <c r="AE105" s="136" t="str">
        <f t="shared" si="86"/>
        <v/>
      </c>
      <c r="AF105" s="136" t="str">
        <f t="shared" si="74"/>
        <v/>
      </c>
      <c r="AG105" s="136" t="str">
        <f t="shared" si="75"/>
        <v/>
      </c>
      <c r="AH105" s="137" t="str">
        <f t="shared" si="87"/>
        <v/>
      </c>
      <c r="AI105" s="135" t="str">
        <f t="shared" si="88"/>
        <v/>
      </c>
      <c r="AJ105" s="135" t="str">
        <f t="shared" si="89"/>
        <v/>
      </c>
      <c r="AK105" s="31" t="str">
        <f t="shared" si="20"/>
        <v/>
      </c>
      <c r="AL105" s="31" t="str">
        <f t="shared" si="21"/>
        <v/>
      </c>
    </row>
    <row r="106" spans="4:38" x14ac:dyDescent="0.25">
      <c r="D106" s="5" t="str">
        <f>IFERROR(VLOOKUP(E106,'Chemical data ref sheet'!$A$1:$E$163,2,FALSE),"")</f>
        <v/>
      </c>
      <c r="E106" s="16"/>
      <c r="F106" s="5" t="str">
        <f>IFERROR(VLOOKUP(E106,'Chemical data ref sheet'!$A$1:$E$163,3,FALSE),"")</f>
        <v/>
      </c>
      <c r="G106" s="5"/>
      <c r="H106" s="5" t="str">
        <f>IFERROR(VLOOKUP(E106,'Chemical data ref sheet'!$A$1:$E$163,4,FALSE),"")</f>
        <v/>
      </c>
      <c r="I106" s="5" t="str">
        <f>IFERROR(VLOOKUP(E106,'Chemical data ref sheet'!$A$1:$E$163,5,FALSE),"")</f>
        <v/>
      </c>
      <c r="J106" s="7"/>
      <c r="K106" s="7"/>
      <c r="L106" s="290"/>
      <c r="M106" s="7"/>
      <c r="N106" s="7"/>
      <c r="O106" s="7"/>
      <c r="P106" s="133">
        <f>SUMIFS('Product samples'!E:E, 'Product samples'!A:A, B106)</f>
        <v>0</v>
      </c>
      <c r="Q106" s="134">
        <f t="shared" si="76"/>
        <v>0</v>
      </c>
      <c r="R106" s="57" t="str">
        <f t="shared" si="70"/>
        <v/>
      </c>
      <c r="S106" s="135" t="str">
        <f t="shared" si="71"/>
        <v/>
      </c>
      <c r="T106" s="132" t="str">
        <f t="shared" si="77"/>
        <v/>
      </c>
      <c r="U106" s="32" t="str">
        <f t="shared" si="78"/>
        <v/>
      </c>
      <c r="V106" s="135" t="str">
        <f t="shared" si="79"/>
        <v/>
      </c>
      <c r="W106" s="136" t="str">
        <f t="shared" si="80"/>
        <v/>
      </c>
      <c r="X106" s="136" t="str">
        <f t="shared" si="81"/>
        <v/>
      </c>
      <c r="Y106" s="136" t="str">
        <f t="shared" si="72"/>
        <v/>
      </c>
      <c r="Z106" s="136" t="str">
        <f t="shared" si="73"/>
        <v/>
      </c>
      <c r="AA106" s="137" t="str">
        <f t="shared" si="82"/>
        <v/>
      </c>
      <c r="AB106" s="135" t="str">
        <f t="shared" si="83"/>
        <v/>
      </c>
      <c r="AC106" s="135" t="str">
        <f t="shared" si="84"/>
        <v/>
      </c>
      <c r="AD106" s="136" t="str">
        <f t="shared" si="85"/>
        <v/>
      </c>
      <c r="AE106" s="136" t="str">
        <f t="shared" si="86"/>
        <v/>
      </c>
      <c r="AF106" s="136" t="str">
        <f t="shared" si="74"/>
        <v/>
      </c>
      <c r="AG106" s="136" t="str">
        <f t="shared" si="75"/>
        <v/>
      </c>
      <c r="AH106" s="137" t="str">
        <f t="shared" si="87"/>
        <v/>
      </c>
      <c r="AI106" s="135" t="str">
        <f t="shared" si="88"/>
        <v/>
      </c>
      <c r="AJ106" s="135" t="str">
        <f t="shared" si="89"/>
        <v/>
      </c>
      <c r="AK106" s="31" t="str">
        <f t="shared" si="20"/>
        <v/>
      </c>
      <c r="AL106" s="31" t="str">
        <f t="shared" si="21"/>
        <v/>
      </c>
    </row>
    <row r="107" spans="4:38" x14ac:dyDescent="0.25">
      <c r="D107" s="5" t="str">
        <f>IFERROR(VLOOKUP(E107,'Chemical data ref sheet'!$A$1:$E$163,2,FALSE),"")</f>
        <v/>
      </c>
      <c r="E107" s="16"/>
      <c r="F107" s="5" t="str">
        <f>IFERROR(VLOOKUP(E107,'Chemical data ref sheet'!$A$1:$E$163,3,FALSE),"")</f>
        <v/>
      </c>
      <c r="G107" s="5"/>
      <c r="H107" s="5" t="str">
        <f>IFERROR(VLOOKUP(E107,'Chemical data ref sheet'!$A$1:$E$163,4,FALSE),"")</f>
        <v/>
      </c>
      <c r="I107" s="5" t="str">
        <f>IFERROR(VLOOKUP(E107,'Chemical data ref sheet'!$A$1:$E$163,5,FALSE),"")</f>
        <v/>
      </c>
      <c r="J107" s="7"/>
      <c r="K107" s="7"/>
      <c r="L107" s="290"/>
      <c r="M107" s="7"/>
      <c r="N107" s="7"/>
      <c r="O107" s="7"/>
      <c r="P107" s="133">
        <f>SUMIFS('Product samples'!E:E, 'Product samples'!A:A, B107)</f>
        <v>0</v>
      </c>
      <c r="Q107" s="134">
        <f t="shared" si="76"/>
        <v>0</v>
      </c>
      <c r="R107" s="57" t="str">
        <f t="shared" si="70"/>
        <v/>
      </c>
      <c r="S107" s="135" t="str">
        <f t="shared" si="71"/>
        <v/>
      </c>
      <c r="T107" s="132" t="str">
        <f t="shared" si="77"/>
        <v/>
      </c>
      <c r="U107" s="32" t="str">
        <f t="shared" si="78"/>
        <v/>
      </c>
      <c r="V107" s="135" t="str">
        <f t="shared" si="79"/>
        <v/>
      </c>
      <c r="W107" s="136" t="str">
        <f t="shared" si="80"/>
        <v/>
      </c>
      <c r="X107" s="136" t="str">
        <f t="shared" si="81"/>
        <v/>
      </c>
      <c r="Y107" s="136" t="str">
        <f t="shared" si="72"/>
        <v/>
      </c>
      <c r="Z107" s="136" t="str">
        <f t="shared" si="73"/>
        <v/>
      </c>
      <c r="AA107" s="137" t="str">
        <f t="shared" si="82"/>
        <v/>
      </c>
      <c r="AB107" s="135" t="str">
        <f t="shared" si="83"/>
        <v/>
      </c>
      <c r="AC107" s="135" t="str">
        <f t="shared" si="84"/>
        <v/>
      </c>
      <c r="AD107" s="136" t="str">
        <f t="shared" si="85"/>
        <v/>
      </c>
      <c r="AE107" s="136" t="str">
        <f t="shared" si="86"/>
        <v/>
      </c>
      <c r="AF107" s="136" t="str">
        <f t="shared" si="74"/>
        <v/>
      </c>
      <c r="AG107" s="136" t="str">
        <f t="shared" si="75"/>
        <v/>
      </c>
      <c r="AH107" s="137" t="str">
        <f t="shared" si="87"/>
        <v/>
      </c>
      <c r="AI107" s="135" t="str">
        <f t="shared" si="88"/>
        <v/>
      </c>
      <c r="AJ107" s="135" t="str">
        <f t="shared" si="89"/>
        <v/>
      </c>
      <c r="AK107" s="31" t="str">
        <f t="shared" si="20"/>
        <v/>
      </c>
      <c r="AL107" s="31" t="str">
        <f t="shared" si="21"/>
        <v/>
      </c>
    </row>
    <row r="108" spans="4:38" x14ac:dyDescent="0.25">
      <c r="D108" s="5" t="str">
        <f>IFERROR(VLOOKUP(E108,'Chemical data ref sheet'!$A$1:$E$163,2,FALSE),"")</f>
        <v/>
      </c>
      <c r="E108" s="16"/>
      <c r="F108" s="5" t="str">
        <f>IFERROR(VLOOKUP(E108,'Chemical data ref sheet'!$A$1:$E$163,3,FALSE),"")</f>
        <v/>
      </c>
      <c r="G108" s="5"/>
      <c r="H108" s="5" t="str">
        <f>IFERROR(VLOOKUP(E108,'Chemical data ref sheet'!$A$1:$E$163,4,FALSE),"")</f>
        <v/>
      </c>
      <c r="I108" s="5" t="str">
        <f>IFERROR(VLOOKUP(E108,'Chemical data ref sheet'!$A$1:$E$163,5,FALSE),"")</f>
        <v/>
      </c>
      <c r="J108" s="7"/>
      <c r="K108" s="7"/>
      <c r="L108" s="290"/>
      <c r="M108" s="7"/>
      <c r="N108" s="7"/>
      <c r="O108" s="7"/>
      <c r="P108" s="133">
        <f>SUMIFS('Product samples'!E:E, 'Product samples'!A:A, B108)</f>
        <v>0</v>
      </c>
      <c r="Q108" s="134">
        <f t="shared" si="76"/>
        <v>0</v>
      </c>
      <c r="R108" s="57" t="str">
        <f t="shared" si="70"/>
        <v/>
      </c>
      <c r="S108" s="135" t="str">
        <f t="shared" si="71"/>
        <v/>
      </c>
      <c r="T108" s="132" t="str">
        <f t="shared" si="77"/>
        <v/>
      </c>
      <c r="U108" s="32" t="str">
        <f t="shared" si="78"/>
        <v/>
      </c>
      <c r="V108" s="135" t="str">
        <f t="shared" si="79"/>
        <v/>
      </c>
      <c r="W108" s="136" t="str">
        <f t="shared" si="80"/>
        <v/>
      </c>
      <c r="X108" s="136" t="str">
        <f t="shared" si="81"/>
        <v/>
      </c>
      <c r="Y108" s="136" t="str">
        <f t="shared" si="72"/>
        <v/>
      </c>
      <c r="Z108" s="136" t="str">
        <f t="shared" si="73"/>
        <v/>
      </c>
      <c r="AA108" s="137" t="str">
        <f t="shared" si="82"/>
        <v/>
      </c>
      <c r="AB108" s="135" t="str">
        <f t="shared" si="83"/>
        <v/>
      </c>
      <c r="AC108" s="135" t="str">
        <f t="shared" si="84"/>
        <v/>
      </c>
      <c r="AD108" s="136" t="str">
        <f t="shared" si="85"/>
        <v/>
      </c>
      <c r="AE108" s="136" t="str">
        <f t="shared" si="86"/>
        <v/>
      </c>
      <c r="AF108" s="136" t="str">
        <f t="shared" si="74"/>
        <v/>
      </c>
      <c r="AG108" s="136" t="str">
        <f t="shared" si="75"/>
        <v/>
      </c>
      <c r="AH108" s="137" t="str">
        <f t="shared" si="87"/>
        <v/>
      </c>
      <c r="AI108" s="135" t="str">
        <f t="shared" si="88"/>
        <v/>
      </c>
      <c r="AJ108" s="135" t="str">
        <f t="shared" si="89"/>
        <v/>
      </c>
      <c r="AK108" s="31" t="str">
        <f t="shared" ref="AK108:AK172" si="90">IFERROR(IF(B108&lt;&gt;"",AH108-Q108,""),"")</f>
        <v/>
      </c>
      <c r="AL108" s="31" t="str">
        <f t="shared" ref="AL108:AL172" si="91">IFERROR(IF(B108&lt;&gt;"",AI108-(P108/1000),""),"")</f>
        <v/>
      </c>
    </row>
    <row r="109" spans="4:38" x14ac:dyDescent="0.25">
      <c r="D109" s="5" t="str">
        <f>IFERROR(VLOOKUP(E109,'Chemical data ref sheet'!$A$1:$E$163,2,FALSE),"")</f>
        <v/>
      </c>
      <c r="E109" s="16"/>
      <c r="F109" s="5" t="str">
        <f>IFERROR(VLOOKUP(E109,'Chemical data ref sheet'!$A$1:$E$163,3,FALSE),"")</f>
        <v/>
      </c>
      <c r="G109" s="5"/>
      <c r="H109" s="5" t="str">
        <f>IFERROR(VLOOKUP(E109,'Chemical data ref sheet'!$A$1:$E$163,4,FALSE),"")</f>
        <v/>
      </c>
      <c r="I109" s="5" t="str">
        <f>IFERROR(VLOOKUP(E109,'Chemical data ref sheet'!$A$1:$E$163,5,FALSE),"")</f>
        <v/>
      </c>
      <c r="J109" s="7"/>
      <c r="K109" s="7"/>
      <c r="L109" s="290"/>
      <c r="M109" s="7"/>
      <c r="N109" s="7"/>
      <c r="O109" s="7"/>
      <c r="P109" s="133">
        <f>SUMIFS('Product samples'!E:E, 'Product samples'!A:A, B109)</f>
        <v>0</v>
      </c>
      <c r="Q109" s="134">
        <f t="shared" si="76"/>
        <v>0</v>
      </c>
      <c r="R109" s="57" t="str">
        <f t="shared" si="70"/>
        <v/>
      </c>
      <c r="S109" s="135" t="str">
        <f t="shared" si="71"/>
        <v/>
      </c>
      <c r="T109" s="132" t="str">
        <f t="shared" si="77"/>
        <v/>
      </c>
      <c r="U109" s="32" t="str">
        <f t="shared" si="78"/>
        <v/>
      </c>
      <c r="V109" s="135" t="str">
        <f t="shared" si="79"/>
        <v/>
      </c>
      <c r="W109" s="136" t="str">
        <f t="shared" si="80"/>
        <v/>
      </c>
      <c r="X109" s="136" t="str">
        <f t="shared" si="81"/>
        <v/>
      </c>
      <c r="Y109" s="136" t="str">
        <f t="shared" si="72"/>
        <v/>
      </c>
      <c r="Z109" s="136" t="str">
        <f t="shared" si="73"/>
        <v/>
      </c>
      <c r="AA109" s="137" t="str">
        <f t="shared" si="82"/>
        <v/>
      </c>
      <c r="AB109" s="135" t="str">
        <f t="shared" si="83"/>
        <v/>
      </c>
      <c r="AC109" s="135" t="str">
        <f t="shared" si="84"/>
        <v/>
      </c>
      <c r="AD109" s="136" t="str">
        <f t="shared" si="85"/>
        <v/>
      </c>
      <c r="AE109" s="136" t="str">
        <f t="shared" si="86"/>
        <v/>
      </c>
      <c r="AF109" s="136" t="str">
        <f t="shared" si="74"/>
        <v/>
      </c>
      <c r="AG109" s="136" t="str">
        <f t="shared" si="75"/>
        <v/>
      </c>
      <c r="AH109" s="137" t="str">
        <f t="shared" si="87"/>
        <v/>
      </c>
      <c r="AI109" s="135" t="str">
        <f t="shared" si="88"/>
        <v/>
      </c>
      <c r="AJ109" s="135" t="str">
        <f t="shared" si="89"/>
        <v/>
      </c>
      <c r="AK109" s="31" t="str">
        <f t="shared" si="90"/>
        <v/>
      </c>
      <c r="AL109" s="31" t="str">
        <f t="shared" si="91"/>
        <v/>
      </c>
    </row>
    <row r="110" spans="4:38" x14ac:dyDescent="0.25">
      <c r="D110" s="5" t="str">
        <f>IFERROR(VLOOKUP(E110,'Chemical data ref sheet'!$A$1:$E$163,2,FALSE),"")</f>
        <v/>
      </c>
      <c r="E110" s="16"/>
      <c r="F110" s="5" t="str">
        <f>IFERROR(VLOOKUP(E110,'Chemical data ref sheet'!$A$1:$E$163,3,FALSE),"")</f>
        <v/>
      </c>
      <c r="G110" s="5"/>
      <c r="H110" s="5" t="str">
        <f>IFERROR(VLOOKUP(E110,'Chemical data ref sheet'!$A$1:$E$163,4,FALSE),"")</f>
        <v/>
      </c>
      <c r="I110" s="5" t="str">
        <f>IFERROR(VLOOKUP(E110,'Chemical data ref sheet'!$A$1:$E$163,5,FALSE),"")</f>
        <v/>
      </c>
      <c r="J110" s="7"/>
      <c r="K110" s="7"/>
      <c r="L110" s="290"/>
      <c r="M110" s="7"/>
      <c r="N110" s="7"/>
      <c r="O110" s="7"/>
      <c r="P110" s="133">
        <f>SUMIFS('Product samples'!E:E, 'Product samples'!A:A, B110)</f>
        <v>0</v>
      </c>
      <c r="Q110" s="134">
        <f t="shared" si="76"/>
        <v>0</v>
      </c>
      <c r="R110" s="57" t="str">
        <f t="shared" si="70"/>
        <v/>
      </c>
      <c r="S110" s="135" t="str">
        <f t="shared" si="71"/>
        <v/>
      </c>
      <c r="T110" s="132" t="str">
        <f t="shared" si="77"/>
        <v/>
      </c>
      <c r="U110" s="32" t="str">
        <f t="shared" si="78"/>
        <v/>
      </c>
      <c r="V110" s="135" t="str">
        <f t="shared" si="79"/>
        <v/>
      </c>
      <c r="W110" s="136" t="str">
        <f t="shared" si="80"/>
        <v/>
      </c>
      <c r="X110" s="136" t="str">
        <f t="shared" si="81"/>
        <v/>
      </c>
      <c r="Y110" s="136" t="str">
        <f t="shared" si="72"/>
        <v/>
      </c>
      <c r="Z110" s="136" t="str">
        <f t="shared" si="73"/>
        <v/>
      </c>
      <c r="AA110" s="137" t="str">
        <f t="shared" si="82"/>
        <v/>
      </c>
      <c r="AB110" s="135" t="str">
        <f t="shared" si="83"/>
        <v/>
      </c>
      <c r="AC110" s="135" t="str">
        <f t="shared" si="84"/>
        <v/>
      </c>
      <c r="AD110" s="136" t="str">
        <f t="shared" si="85"/>
        <v/>
      </c>
      <c r="AE110" s="136" t="str">
        <f t="shared" si="86"/>
        <v/>
      </c>
      <c r="AF110" s="136" t="str">
        <f t="shared" si="74"/>
        <v/>
      </c>
      <c r="AG110" s="136" t="str">
        <f t="shared" si="75"/>
        <v/>
      </c>
      <c r="AH110" s="137" t="str">
        <f t="shared" si="87"/>
        <v/>
      </c>
      <c r="AI110" s="135" t="str">
        <f t="shared" si="88"/>
        <v/>
      </c>
      <c r="AJ110" s="135" t="str">
        <f t="shared" si="89"/>
        <v/>
      </c>
      <c r="AK110" s="31" t="str">
        <f t="shared" si="90"/>
        <v/>
      </c>
      <c r="AL110" s="31" t="str">
        <f t="shared" si="91"/>
        <v/>
      </c>
    </row>
    <row r="111" spans="4:38" x14ac:dyDescent="0.25">
      <c r="D111" s="5" t="str">
        <f>IFERROR(VLOOKUP(E111,'Chemical data ref sheet'!$A$1:$E$163,2,FALSE),"")</f>
        <v/>
      </c>
      <c r="E111" s="16"/>
      <c r="F111" s="5" t="str">
        <f>IFERROR(VLOOKUP(E111,'Chemical data ref sheet'!$A$1:$E$163,3,FALSE),"")</f>
        <v/>
      </c>
      <c r="G111" s="5"/>
      <c r="H111" s="5" t="str">
        <f>IFERROR(VLOOKUP(E111,'Chemical data ref sheet'!$A$1:$E$163,4,FALSE),"")</f>
        <v/>
      </c>
      <c r="I111" s="5" t="str">
        <f>IFERROR(VLOOKUP(E111,'Chemical data ref sheet'!$A$1:$E$163,5,FALSE),"")</f>
        <v/>
      </c>
      <c r="J111" s="7"/>
      <c r="K111" s="7"/>
      <c r="L111" s="290"/>
      <c r="M111" s="7"/>
      <c r="N111" s="7"/>
      <c r="O111" s="7"/>
      <c r="P111" s="133">
        <f>SUMIFS('Product samples'!E:E, 'Product samples'!A:A, B111)</f>
        <v>0</v>
      </c>
      <c r="Q111" s="134">
        <f t="shared" si="76"/>
        <v>0</v>
      </c>
      <c r="R111" s="57" t="str">
        <f t="shared" si="70"/>
        <v/>
      </c>
      <c r="S111" s="135" t="str">
        <f t="shared" si="71"/>
        <v/>
      </c>
      <c r="T111" s="132" t="str">
        <f t="shared" si="77"/>
        <v/>
      </c>
      <c r="U111" s="32" t="str">
        <f t="shared" si="78"/>
        <v/>
      </c>
      <c r="V111" s="135" t="str">
        <f t="shared" si="79"/>
        <v/>
      </c>
      <c r="W111" s="136" t="str">
        <f t="shared" si="80"/>
        <v/>
      </c>
      <c r="X111" s="136" t="str">
        <f t="shared" si="81"/>
        <v/>
      </c>
      <c r="Y111" s="136" t="str">
        <f t="shared" si="72"/>
        <v/>
      </c>
      <c r="Z111" s="136" t="str">
        <f t="shared" si="73"/>
        <v/>
      </c>
      <c r="AA111" s="137" t="str">
        <f t="shared" si="82"/>
        <v/>
      </c>
      <c r="AB111" s="135" t="str">
        <f t="shared" si="83"/>
        <v/>
      </c>
      <c r="AC111" s="135" t="str">
        <f t="shared" si="84"/>
        <v/>
      </c>
      <c r="AD111" s="136" t="str">
        <f t="shared" si="85"/>
        <v/>
      </c>
      <c r="AE111" s="136" t="str">
        <f t="shared" si="86"/>
        <v/>
      </c>
      <c r="AF111" s="136" t="str">
        <f t="shared" si="74"/>
        <v/>
      </c>
      <c r="AG111" s="136" t="str">
        <f t="shared" si="75"/>
        <v/>
      </c>
      <c r="AH111" s="137" t="str">
        <f t="shared" si="87"/>
        <v/>
      </c>
      <c r="AI111" s="135" t="str">
        <f t="shared" si="88"/>
        <v/>
      </c>
      <c r="AJ111" s="135" t="str">
        <f t="shared" si="89"/>
        <v/>
      </c>
      <c r="AK111" s="31" t="str">
        <f t="shared" si="90"/>
        <v/>
      </c>
      <c r="AL111" s="31" t="str">
        <f t="shared" si="91"/>
        <v/>
      </c>
    </row>
    <row r="112" spans="4:38" x14ac:dyDescent="0.25">
      <c r="D112" s="5" t="str">
        <f>IFERROR(VLOOKUP(E112,'Chemical data ref sheet'!$A$1:$E$163,2,FALSE),"")</f>
        <v/>
      </c>
      <c r="E112" s="16"/>
      <c r="F112" s="5" t="str">
        <f>IFERROR(VLOOKUP(E112,'Chemical data ref sheet'!$A$1:$E$163,3,FALSE),"")</f>
        <v/>
      </c>
      <c r="G112" s="5"/>
      <c r="H112" s="5" t="str">
        <f>IFERROR(VLOOKUP(E112,'Chemical data ref sheet'!$A$1:$E$163,4,FALSE),"")</f>
        <v/>
      </c>
      <c r="I112" s="5" t="str">
        <f>IFERROR(VLOOKUP(E112,'Chemical data ref sheet'!$A$1:$E$163,5,FALSE),"")</f>
        <v/>
      </c>
      <c r="J112" s="7"/>
      <c r="K112" s="7"/>
      <c r="L112" s="290"/>
      <c r="M112" s="7"/>
      <c r="N112" s="7"/>
      <c r="O112" s="7"/>
      <c r="P112" s="133">
        <f>SUMIFS('Product samples'!E:E, 'Product samples'!A:A, B112)</f>
        <v>0</v>
      </c>
      <c r="Q112" s="134">
        <f t="shared" si="76"/>
        <v>0</v>
      </c>
      <c r="R112" s="57" t="str">
        <f t="shared" si="70"/>
        <v/>
      </c>
      <c r="S112" s="135" t="str">
        <f t="shared" si="71"/>
        <v/>
      </c>
      <c r="T112" s="132" t="str">
        <f t="shared" si="77"/>
        <v/>
      </c>
      <c r="U112" s="32" t="str">
        <f t="shared" si="78"/>
        <v/>
      </c>
      <c r="V112" s="135" t="str">
        <f t="shared" si="79"/>
        <v/>
      </c>
      <c r="W112" s="136" t="str">
        <f t="shared" si="80"/>
        <v/>
      </c>
      <c r="X112" s="136" t="str">
        <f t="shared" si="81"/>
        <v/>
      </c>
      <c r="Y112" s="136" t="str">
        <f t="shared" si="72"/>
        <v/>
      </c>
      <c r="Z112" s="136" t="str">
        <f t="shared" si="73"/>
        <v/>
      </c>
      <c r="AA112" s="137" t="str">
        <f t="shared" si="82"/>
        <v/>
      </c>
      <c r="AB112" s="135" t="str">
        <f t="shared" si="83"/>
        <v/>
      </c>
      <c r="AC112" s="135" t="str">
        <f t="shared" si="84"/>
        <v/>
      </c>
      <c r="AD112" s="136" t="str">
        <f t="shared" si="85"/>
        <v/>
      </c>
      <c r="AE112" s="136" t="str">
        <f t="shared" si="86"/>
        <v/>
      </c>
      <c r="AF112" s="136" t="str">
        <f t="shared" si="74"/>
        <v/>
      </c>
      <c r="AG112" s="136" t="str">
        <f t="shared" si="75"/>
        <v/>
      </c>
      <c r="AH112" s="137" t="str">
        <f t="shared" si="87"/>
        <v/>
      </c>
      <c r="AI112" s="135" t="str">
        <f t="shared" si="88"/>
        <v/>
      </c>
      <c r="AJ112" s="135" t="str">
        <f t="shared" si="89"/>
        <v/>
      </c>
      <c r="AK112" s="31" t="str">
        <f t="shared" si="90"/>
        <v/>
      </c>
      <c r="AL112" s="31" t="str">
        <f t="shared" si="91"/>
        <v/>
      </c>
    </row>
    <row r="113" spans="4:38" x14ac:dyDescent="0.25">
      <c r="D113" s="5" t="str">
        <f>IFERROR(VLOOKUP(E113,'Chemical data ref sheet'!$A$1:$E$163,2,FALSE),"")</f>
        <v/>
      </c>
      <c r="E113" s="16"/>
      <c r="F113" s="5" t="str">
        <f>IFERROR(VLOOKUP(E113,'Chemical data ref sheet'!$A$1:$E$163,3,FALSE),"")</f>
        <v/>
      </c>
      <c r="G113" s="5"/>
      <c r="H113" s="5" t="str">
        <f>IFERROR(VLOOKUP(E113,'Chemical data ref sheet'!$A$1:$E$163,4,FALSE),"")</f>
        <v/>
      </c>
      <c r="I113" s="5" t="str">
        <f>IFERROR(VLOOKUP(E113,'Chemical data ref sheet'!$A$1:$E$163,5,FALSE),"")</f>
        <v/>
      </c>
      <c r="J113" s="7"/>
      <c r="K113" s="7"/>
      <c r="L113" s="290"/>
      <c r="M113" s="7"/>
      <c r="N113" s="7"/>
      <c r="O113" s="7"/>
      <c r="P113" s="133">
        <f>SUMIFS('Product samples'!E:E, 'Product samples'!A:A, B113)</f>
        <v>0</v>
      </c>
      <c r="Q113" s="134">
        <f t="shared" si="76"/>
        <v>0</v>
      </c>
      <c r="R113" s="57" t="str">
        <f t="shared" si="70"/>
        <v/>
      </c>
      <c r="S113" s="135" t="str">
        <f t="shared" si="71"/>
        <v/>
      </c>
      <c r="T113" s="132" t="str">
        <f t="shared" si="77"/>
        <v/>
      </c>
      <c r="U113" s="32" t="str">
        <f t="shared" si="78"/>
        <v/>
      </c>
      <c r="V113" s="135" t="str">
        <f t="shared" si="79"/>
        <v/>
      </c>
      <c r="W113" s="136" t="str">
        <f t="shared" si="80"/>
        <v/>
      </c>
      <c r="X113" s="136" t="str">
        <f t="shared" si="81"/>
        <v/>
      </c>
      <c r="Y113" s="136" t="str">
        <f t="shared" si="72"/>
        <v/>
      </c>
      <c r="Z113" s="136" t="str">
        <f t="shared" si="73"/>
        <v/>
      </c>
      <c r="AA113" s="137" t="str">
        <f t="shared" si="82"/>
        <v/>
      </c>
      <c r="AB113" s="135" t="str">
        <f t="shared" si="83"/>
        <v/>
      </c>
      <c r="AC113" s="135" t="str">
        <f t="shared" si="84"/>
        <v/>
      </c>
      <c r="AD113" s="136" t="str">
        <f t="shared" si="85"/>
        <v/>
      </c>
      <c r="AE113" s="136" t="str">
        <f t="shared" si="86"/>
        <v/>
      </c>
      <c r="AF113" s="136" t="str">
        <f t="shared" si="74"/>
        <v/>
      </c>
      <c r="AG113" s="136" t="str">
        <f t="shared" si="75"/>
        <v/>
      </c>
      <c r="AH113" s="137" t="str">
        <f t="shared" si="87"/>
        <v/>
      </c>
      <c r="AI113" s="135" t="str">
        <f t="shared" si="88"/>
        <v/>
      </c>
      <c r="AJ113" s="135" t="str">
        <f t="shared" si="89"/>
        <v/>
      </c>
      <c r="AK113" s="31" t="str">
        <f t="shared" si="90"/>
        <v/>
      </c>
      <c r="AL113" s="31" t="str">
        <f t="shared" si="91"/>
        <v/>
      </c>
    </row>
    <row r="114" spans="4:38" x14ac:dyDescent="0.25">
      <c r="D114" s="5" t="str">
        <f>IFERROR(VLOOKUP(E114,'Chemical data ref sheet'!$A$1:$E$163,2,FALSE),"")</f>
        <v/>
      </c>
      <c r="E114" s="16"/>
      <c r="F114" s="5" t="str">
        <f>IFERROR(VLOOKUP(E114,'Chemical data ref sheet'!$A$1:$E$163,3,FALSE),"")</f>
        <v/>
      </c>
      <c r="G114" s="5"/>
      <c r="H114" s="5" t="str">
        <f>IFERROR(VLOOKUP(E114,'Chemical data ref sheet'!$A$1:$E$163,4,FALSE),"")</f>
        <v/>
      </c>
      <c r="I114" s="5" t="str">
        <f>IFERROR(VLOOKUP(E114,'Chemical data ref sheet'!$A$1:$E$163,5,FALSE),"")</f>
        <v/>
      </c>
      <c r="J114" s="7"/>
      <c r="K114" s="7"/>
      <c r="L114" s="290"/>
      <c r="M114" s="7"/>
      <c r="N114" s="7"/>
      <c r="O114" s="7"/>
      <c r="P114" s="133">
        <f>SUMIFS('Product samples'!E:E, 'Product samples'!A:A, B114)</f>
        <v>0</v>
      </c>
      <c r="Q114" s="134">
        <f t="shared" si="76"/>
        <v>0</v>
      </c>
      <c r="R114" s="57" t="str">
        <f t="shared" si="70"/>
        <v/>
      </c>
      <c r="S114" s="135" t="str">
        <f t="shared" si="71"/>
        <v/>
      </c>
      <c r="T114" s="132" t="str">
        <f t="shared" si="77"/>
        <v/>
      </c>
      <c r="U114" s="32" t="str">
        <f t="shared" si="78"/>
        <v/>
      </c>
      <c r="V114" s="135" t="str">
        <f t="shared" si="79"/>
        <v/>
      </c>
      <c r="W114" s="136" t="str">
        <f t="shared" si="80"/>
        <v/>
      </c>
      <c r="X114" s="136" t="str">
        <f t="shared" si="81"/>
        <v/>
      </c>
      <c r="Y114" s="136" t="str">
        <f t="shared" si="72"/>
        <v/>
      </c>
      <c r="Z114" s="136" t="str">
        <f t="shared" si="73"/>
        <v/>
      </c>
      <c r="AA114" s="137" t="str">
        <f t="shared" si="82"/>
        <v/>
      </c>
      <c r="AB114" s="135" t="str">
        <f t="shared" si="83"/>
        <v/>
      </c>
      <c r="AC114" s="135" t="str">
        <f t="shared" si="84"/>
        <v/>
      </c>
      <c r="AD114" s="136" t="str">
        <f t="shared" si="85"/>
        <v/>
      </c>
      <c r="AE114" s="136" t="str">
        <f t="shared" si="86"/>
        <v/>
      </c>
      <c r="AF114" s="136" t="str">
        <f t="shared" si="74"/>
        <v/>
      </c>
      <c r="AG114" s="136" t="str">
        <f t="shared" si="75"/>
        <v/>
      </c>
      <c r="AH114" s="137" t="str">
        <f t="shared" si="87"/>
        <v/>
      </c>
      <c r="AI114" s="135" t="str">
        <f t="shared" si="88"/>
        <v/>
      </c>
      <c r="AJ114" s="135" t="str">
        <f t="shared" si="89"/>
        <v/>
      </c>
      <c r="AK114" s="31" t="str">
        <f t="shared" si="90"/>
        <v/>
      </c>
      <c r="AL114" s="31" t="str">
        <f t="shared" si="91"/>
        <v/>
      </c>
    </row>
    <row r="115" spans="4:38" x14ac:dyDescent="0.25">
      <c r="D115" s="5" t="str">
        <f>IFERROR(VLOOKUP(E115,'Chemical data ref sheet'!$A$1:$E$163,2,FALSE),"")</f>
        <v/>
      </c>
      <c r="E115" s="16"/>
      <c r="F115" s="5" t="str">
        <f>IFERROR(VLOOKUP(E115,'Chemical data ref sheet'!$A$1:$E$163,3,FALSE),"")</f>
        <v/>
      </c>
      <c r="G115" s="5"/>
      <c r="H115" s="5" t="str">
        <f>IFERROR(VLOOKUP(E115,'Chemical data ref sheet'!$A$1:$E$163,4,FALSE),"")</f>
        <v/>
      </c>
      <c r="I115" s="5" t="str">
        <f>IFERROR(VLOOKUP(E115,'Chemical data ref sheet'!$A$1:$E$163,5,FALSE),"")</f>
        <v/>
      </c>
      <c r="J115" s="7"/>
      <c r="K115" s="7"/>
      <c r="L115" s="290"/>
      <c r="M115" s="7"/>
      <c r="N115" s="7"/>
      <c r="O115" s="7"/>
      <c r="P115" s="133">
        <f>SUMIFS('Product samples'!E:E, 'Product samples'!A:A, B115)</f>
        <v>0</v>
      </c>
      <c r="Q115" s="134">
        <f t="shared" si="76"/>
        <v>0</v>
      </c>
      <c r="R115" s="57" t="str">
        <f t="shared" si="70"/>
        <v/>
      </c>
      <c r="S115" s="135" t="str">
        <f t="shared" si="71"/>
        <v/>
      </c>
      <c r="T115" s="132" t="str">
        <f t="shared" si="77"/>
        <v/>
      </c>
      <c r="U115" s="32" t="str">
        <f t="shared" si="78"/>
        <v/>
      </c>
      <c r="V115" s="135" t="str">
        <f t="shared" si="79"/>
        <v/>
      </c>
      <c r="W115" s="136" t="str">
        <f t="shared" si="80"/>
        <v/>
      </c>
      <c r="X115" s="136" t="str">
        <f t="shared" si="81"/>
        <v/>
      </c>
      <c r="Y115" s="136" t="str">
        <f t="shared" si="72"/>
        <v/>
      </c>
      <c r="Z115" s="136" t="str">
        <f t="shared" si="73"/>
        <v/>
      </c>
      <c r="AA115" s="137" t="str">
        <f t="shared" si="82"/>
        <v/>
      </c>
      <c r="AB115" s="135" t="str">
        <f t="shared" si="83"/>
        <v/>
      </c>
      <c r="AC115" s="135" t="str">
        <f t="shared" si="84"/>
        <v/>
      </c>
      <c r="AD115" s="136" t="str">
        <f t="shared" si="85"/>
        <v/>
      </c>
      <c r="AE115" s="136" t="str">
        <f t="shared" si="86"/>
        <v/>
      </c>
      <c r="AF115" s="136" t="str">
        <f t="shared" si="74"/>
        <v/>
      </c>
      <c r="AG115" s="136" t="str">
        <f t="shared" si="75"/>
        <v/>
      </c>
      <c r="AH115" s="137" t="str">
        <f t="shared" si="87"/>
        <v/>
      </c>
      <c r="AI115" s="135" t="str">
        <f t="shared" si="88"/>
        <v/>
      </c>
      <c r="AJ115" s="135" t="str">
        <f t="shared" si="89"/>
        <v/>
      </c>
      <c r="AK115" s="31" t="str">
        <f t="shared" si="90"/>
        <v/>
      </c>
      <c r="AL115" s="31" t="str">
        <f t="shared" si="91"/>
        <v/>
      </c>
    </row>
    <row r="116" spans="4:38" x14ac:dyDescent="0.25">
      <c r="D116" s="5" t="str">
        <f>IFERROR(VLOOKUP(E116,'Chemical data ref sheet'!$A$1:$E$163,2,FALSE),"")</f>
        <v/>
      </c>
      <c r="E116" s="16"/>
      <c r="F116" s="5" t="str">
        <f>IFERROR(VLOOKUP(E116,'Chemical data ref sheet'!$A$1:$E$163,3,FALSE),"")</f>
        <v/>
      </c>
      <c r="G116" s="5"/>
      <c r="H116" s="5" t="str">
        <f>IFERROR(VLOOKUP(E116,'Chemical data ref sheet'!$A$1:$E$163,4,FALSE),"")</f>
        <v/>
      </c>
      <c r="I116" s="5" t="str">
        <f>IFERROR(VLOOKUP(E116,'Chemical data ref sheet'!$A$1:$E$163,5,FALSE),"")</f>
        <v/>
      </c>
      <c r="J116" s="7"/>
      <c r="K116" s="7"/>
      <c r="L116" s="290"/>
      <c r="M116" s="7"/>
      <c r="N116" s="7"/>
      <c r="O116" s="7"/>
      <c r="P116" s="133">
        <f>SUMIFS('Product samples'!E:E, 'Product samples'!A:A, B116)</f>
        <v>0</v>
      </c>
      <c r="Q116" s="134">
        <f t="shared" si="76"/>
        <v>0</v>
      </c>
      <c r="R116" s="57" t="str">
        <f t="shared" si="70"/>
        <v/>
      </c>
      <c r="S116" s="135" t="str">
        <f t="shared" si="71"/>
        <v/>
      </c>
      <c r="T116" s="132" t="str">
        <f t="shared" si="77"/>
        <v/>
      </c>
      <c r="U116" s="32" t="str">
        <f t="shared" si="78"/>
        <v/>
      </c>
      <c r="V116" s="135" t="str">
        <f t="shared" si="79"/>
        <v/>
      </c>
      <c r="W116" s="136" t="str">
        <f t="shared" si="80"/>
        <v/>
      </c>
      <c r="X116" s="136" t="str">
        <f t="shared" si="81"/>
        <v/>
      </c>
      <c r="Y116" s="136" t="str">
        <f t="shared" si="72"/>
        <v/>
      </c>
      <c r="Z116" s="136" t="str">
        <f t="shared" si="73"/>
        <v/>
      </c>
      <c r="AA116" s="137" t="str">
        <f t="shared" si="82"/>
        <v/>
      </c>
      <c r="AB116" s="135" t="str">
        <f t="shared" si="83"/>
        <v/>
      </c>
      <c r="AC116" s="135" t="str">
        <f t="shared" si="84"/>
        <v/>
      </c>
      <c r="AD116" s="136" t="str">
        <f t="shared" si="85"/>
        <v/>
      </c>
      <c r="AE116" s="136" t="str">
        <f t="shared" si="86"/>
        <v/>
      </c>
      <c r="AF116" s="136" t="str">
        <f t="shared" si="74"/>
        <v/>
      </c>
      <c r="AG116" s="136" t="str">
        <f t="shared" si="75"/>
        <v/>
      </c>
      <c r="AH116" s="137" t="str">
        <f t="shared" si="87"/>
        <v/>
      </c>
      <c r="AI116" s="135" t="str">
        <f t="shared" si="88"/>
        <v/>
      </c>
      <c r="AJ116" s="135" t="str">
        <f t="shared" si="89"/>
        <v/>
      </c>
      <c r="AK116" s="31" t="str">
        <f t="shared" si="90"/>
        <v/>
      </c>
      <c r="AL116" s="31" t="str">
        <f t="shared" si="91"/>
        <v/>
      </c>
    </row>
    <row r="117" spans="4:38" x14ac:dyDescent="0.25">
      <c r="D117" s="5" t="str">
        <f>IFERROR(VLOOKUP(E117,'Chemical data ref sheet'!$A$1:$E$163,2,FALSE),"")</f>
        <v/>
      </c>
      <c r="E117" s="16"/>
      <c r="F117" s="5" t="str">
        <f>IFERROR(VLOOKUP(E117,'Chemical data ref sheet'!$A$1:$E$163,3,FALSE),"")</f>
        <v/>
      </c>
      <c r="G117" s="5"/>
      <c r="H117" s="5" t="str">
        <f>IFERROR(VLOOKUP(E117,'Chemical data ref sheet'!$A$1:$E$163,4,FALSE),"")</f>
        <v/>
      </c>
      <c r="I117" s="5" t="str">
        <f>IFERROR(VLOOKUP(E117,'Chemical data ref sheet'!$A$1:$E$163,5,FALSE),"")</f>
        <v/>
      </c>
      <c r="J117" s="7"/>
      <c r="K117" s="7"/>
      <c r="L117" s="290"/>
      <c r="M117" s="7"/>
      <c r="N117" s="7"/>
      <c r="O117" s="7"/>
      <c r="P117" s="133">
        <f>SUMIFS('Product samples'!E:E, 'Product samples'!A:A, B117)</f>
        <v>0</v>
      </c>
      <c r="Q117" s="134">
        <f t="shared" si="76"/>
        <v>0</v>
      </c>
      <c r="R117" s="57" t="str">
        <f t="shared" si="70"/>
        <v/>
      </c>
      <c r="S117" s="135" t="str">
        <f t="shared" si="71"/>
        <v/>
      </c>
      <c r="T117" s="132" t="str">
        <f t="shared" si="77"/>
        <v/>
      </c>
      <c r="U117" s="32" t="str">
        <f t="shared" si="78"/>
        <v/>
      </c>
      <c r="V117" s="135" t="str">
        <f t="shared" si="79"/>
        <v/>
      </c>
      <c r="W117" s="136" t="str">
        <f t="shared" si="80"/>
        <v/>
      </c>
      <c r="X117" s="136" t="str">
        <f t="shared" si="81"/>
        <v/>
      </c>
      <c r="Y117" s="136" t="str">
        <f t="shared" si="72"/>
        <v/>
      </c>
      <c r="Z117" s="136" t="str">
        <f t="shared" si="73"/>
        <v/>
      </c>
      <c r="AA117" s="137" t="str">
        <f t="shared" si="82"/>
        <v/>
      </c>
      <c r="AB117" s="135" t="str">
        <f t="shared" si="83"/>
        <v/>
      </c>
      <c r="AC117" s="135" t="str">
        <f t="shared" si="84"/>
        <v/>
      </c>
      <c r="AD117" s="136" t="str">
        <f t="shared" si="85"/>
        <v/>
      </c>
      <c r="AE117" s="136" t="str">
        <f t="shared" si="86"/>
        <v/>
      </c>
      <c r="AF117" s="136" t="str">
        <f t="shared" si="74"/>
        <v/>
      </c>
      <c r="AG117" s="136" t="str">
        <f t="shared" si="75"/>
        <v/>
      </c>
      <c r="AH117" s="137" t="str">
        <f t="shared" si="87"/>
        <v/>
      </c>
      <c r="AI117" s="135" t="str">
        <f t="shared" si="88"/>
        <v/>
      </c>
      <c r="AJ117" s="135" t="str">
        <f t="shared" si="89"/>
        <v/>
      </c>
      <c r="AK117" s="31" t="str">
        <f t="shared" si="90"/>
        <v/>
      </c>
      <c r="AL117" s="31" t="str">
        <f t="shared" si="91"/>
        <v/>
      </c>
    </row>
    <row r="118" spans="4:38" x14ac:dyDescent="0.25">
      <c r="D118" s="5" t="str">
        <f>IFERROR(VLOOKUP(E118,'Chemical data ref sheet'!$A$1:$E$163,2,FALSE),"")</f>
        <v/>
      </c>
      <c r="E118" s="16"/>
      <c r="F118" s="5" t="str">
        <f>IFERROR(VLOOKUP(E118,'Chemical data ref sheet'!$A$1:$E$163,3,FALSE),"")</f>
        <v/>
      </c>
      <c r="G118" s="5"/>
      <c r="H118" s="5" t="str">
        <f>IFERROR(VLOOKUP(E118,'Chemical data ref sheet'!$A$1:$E$163,4,FALSE),"")</f>
        <v/>
      </c>
      <c r="I118" s="5" t="str">
        <f>IFERROR(VLOOKUP(E118,'Chemical data ref sheet'!$A$1:$E$163,5,FALSE),"")</f>
        <v/>
      </c>
      <c r="J118" s="7"/>
      <c r="K118" s="7"/>
      <c r="L118" s="290"/>
      <c r="M118" s="7"/>
      <c r="N118" s="7"/>
      <c r="O118" s="7"/>
      <c r="P118" s="133">
        <f>SUMIFS('Product samples'!E:E, 'Product samples'!A:A, B118)</f>
        <v>0</v>
      </c>
      <c r="Q118" s="134">
        <f t="shared" si="76"/>
        <v>0</v>
      </c>
      <c r="R118" s="57" t="str">
        <f t="shared" si="70"/>
        <v/>
      </c>
      <c r="S118" s="135" t="str">
        <f t="shared" si="71"/>
        <v/>
      </c>
      <c r="T118" s="132" t="str">
        <f t="shared" si="77"/>
        <v/>
      </c>
      <c r="U118" s="32" t="str">
        <f t="shared" si="78"/>
        <v/>
      </c>
      <c r="V118" s="135" t="str">
        <f t="shared" si="79"/>
        <v/>
      </c>
      <c r="W118" s="136" t="str">
        <f t="shared" si="80"/>
        <v/>
      </c>
      <c r="X118" s="136" t="str">
        <f t="shared" si="81"/>
        <v/>
      </c>
      <c r="Y118" s="136" t="str">
        <f t="shared" si="72"/>
        <v/>
      </c>
      <c r="Z118" s="136" t="str">
        <f t="shared" si="73"/>
        <v/>
      </c>
      <c r="AA118" s="137" t="str">
        <f t="shared" si="82"/>
        <v/>
      </c>
      <c r="AB118" s="135" t="str">
        <f t="shared" si="83"/>
        <v/>
      </c>
      <c r="AC118" s="135" t="str">
        <f t="shared" si="84"/>
        <v/>
      </c>
      <c r="AD118" s="136" t="str">
        <f t="shared" si="85"/>
        <v/>
      </c>
      <c r="AE118" s="136" t="str">
        <f t="shared" si="86"/>
        <v/>
      </c>
      <c r="AF118" s="136" t="str">
        <f t="shared" si="74"/>
        <v/>
      </c>
      <c r="AG118" s="136" t="str">
        <f t="shared" si="75"/>
        <v/>
      </c>
      <c r="AH118" s="137" t="str">
        <f t="shared" si="87"/>
        <v/>
      </c>
      <c r="AI118" s="135" t="str">
        <f t="shared" si="88"/>
        <v/>
      </c>
      <c r="AJ118" s="135" t="str">
        <f t="shared" si="89"/>
        <v/>
      </c>
      <c r="AK118" s="31" t="str">
        <f t="shared" si="90"/>
        <v/>
      </c>
      <c r="AL118" s="31" t="str">
        <f t="shared" si="91"/>
        <v/>
      </c>
    </row>
    <row r="119" spans="4:38" x14ac:dyDescent="0.25">
      <c r="D119" s="5" t="str">
        <f>IFERROR(VLOOKUP(E119,'Chemical data ref sheet'!$A$1:$E$163,2,FALSE),"")</f>
        <v/>
      </c>
      <c r="E119" s="16"/>
      <c r="F119" s="5" t="str">
        <f>IFERROR(VLOOKUP(E119,'Chemical data ref sheet'!$A$1:$E$163,3,FALSE),"")</f>
        <v/>
      </c>
      <c r="G119" s="5"/>
      <c r="H119" s="5" t="str">
        <f>IFERROR(VLOOKUP(E119,'Chemical data ref sheet'!$A$1:$E$163,4,FALSE),"")</f>
        <v/>
      </c>
      <c r="I119" s="5" t="str">
        <f>IFERROR(VLOOKUP(E119,'Chemical data ref sheet'!$A$1:$E$163,5,FALSE),"")</f>
        <v/>
      </c>
      <c r="J119" s="7"/>
      <c r="K119" s="7"/>
      <c r="L119" s="290"/>
      <c r="M119" s="7"/>
      <c r="N119" s="7"/>
      <c r="O119" s="7"/>
      <c r="P119" s="133">
        <f>SUMIFS('Product samples'!E:E, 'Product samples'!A:A, B119)</f>
        <v>0</v>
      </c>
      <c r="Q119" s="134">
        <f t="shared" si="76"/>
        <v>0</v>
      </c>
      <c r="R119" s="57" t="str">
        <f t="shared" si="70"/>
        <v/>
      </c>
      <c r="S119" s="135" t="str">
        <f t="shared" si="71"/>
        <v/>
      </c>
      <c r="T119" s="132" t="str">
        <f t="shared" si="77"/>
        <v/>
      </c>
      <c r="U119" s="32" t="str">
        <f t="shared" si="78"/>
        <v/>
      </c>
      <c r="V119" s="135" t="str">
        <f t="shared" si="79"/>
        <v/>
      </c>
      <c r="W119" s="136" t="str">
        <f t="shared" si="80"/>
        <v/>
      </c>
      <c r="X119" s="136" t="str">
        <f t="shared" si="81"/>
        <v/>
      </c>
      <c r="Y119" s="136" t="str">
        <f t="shared" si="72"/>
        <v/>
      </c>
      <c r="Z119" s="136" t="str">
        <f t="shared" si="73"/>
        <v/>
      </c>
      <c r="AA119" s="137" t="str">
        <f t="shared" si="82"/>
        <v/>
      </c>
      <c r="AB119" s="135" t="str">
        <f t="shared" si="83"/>
        <v/>
      </c>
      <c r="AC119" s="135" t="str">
        <f t="shared" si="84"/>
        <v/>
      </c>
      <c r="AD119" s="136" t="str">
        <f t="shared" si="85"/>
        <v/>
      </c>
      <c r="AE119" s="136" t="str">
        <f t="shared" si="86"/>
        <v/>
      </c>
      <c r="AF119" s="136" t="str">
        <f t="shared" si="74"/>
        <v/>
      </c>
      <c r="AG119" s="136" t="str">
        <f t="shared" si="75"/>
        <v/>
      </c>
      <c r="AH119" s="137" t="str">
        <f t="shared" si="87"/>
        <v/>
      </c>
      <c r="AI119" s="135" t="str">
        <f t="shared" si="88"/>
        <v/>
      </c>
      <c r="AJ119" s="135" t="str">
        <f t="shared" si="89"/>
        <v/>
      </c>
      <c r="AK119" s="31" t="str">
        <f t="shared" si="90"/>
        <v/>
      </c>
      <c r="AL119" s="31" t="str">
        <f t="shared" si="91"/>
        <v/>
      </c>
    </row>
    <row r="120" spans="4:38" x14ac:dyDescent="0.25">
      <c r="D120" s="5" t="str">
        <f>IFERROR(VLOOKUP(E120,'Chemical data ref sheet'!$A$1:$E$163,2,FALSE),"")</f>
        <v/>
      </c>
      <c r="E120" s="16"/>
      <c r="F120" s="5" t="str">
        <f>IFERROR(VLOOKUP(E120,'Chemical data ref sheet'!$A$1:$E$163,3,FALSE),"")</f>
        <v/>
      </c>
      <c r="G120" s="5"/>
      <c r="H120" s="5" t="str">
        <f>IFERROR(VLOOKUP(E120,'Chemical data ref sheet'!$A$1:$E$163,4,FALSE),"")</f>
        <v/>
      </c>
      <c r="I120" s="5" t="str">
        <f>IFERROR(VLOOKUP(E120,'Chemical data ref sheet'!$A$1:$E$163,5,FALSE),"")</f>
        <v/>
      </c>
      <c r="J120" s="7"/>
      <c r="K120" s="7"/>
      <c r="L120" s="290"/>
      <c r="M120" s="7"/>
      <c r="N120" s="7"/>
      <c r="O120" s="7"/>
      <c r="P120" s="133">
        <f>SUMIFS('Product samples'!E:E, 'Product samples'!A:A, B120)</f>
        <v>0</v>
      </c>
      <c r="Q120" s="134">
        <f t="shared" si="76"/>
        <v>0</v>
      </c>
      <c r="R120" s="57" t="str">
        <f t="shared" si="70"/>
        <v/>
      </c>
      <c r="S120" s="135" t="str">
        <f t="shared" si="71"/>
        <v/>
      </c>
      <c r="T120" s="132" t="str">
        <f t="shared" si="77"/>
        <v/>
      </c>
      <c r="U120" s="32" t="str">
        <f t="shared" si="78"/>
        <v/>
      </c>
      <c r="V120" s="135" t="str">
        <f t="shared" si="79"/>
        <v/>
      </c>
      <c r="W120" s="136" t="str">
        <f t="shared" si="80"/>
        <v/>
      </c>
      <c r="X120" s="136" t="str">
        <f t="shared" si="81"/>
        <v/>
      </c>
      <c r="Y120" s="136" t="str">
        <f t="shared" si="72"/>
        <v/>
      </c>
      <c r="Z120" s="136" t="str">
        <f t="shared" si="73"/>
        <v/>
      </c>
      <c r="AA120" s="137" t="str">
        <f t="shared" si="82"/>
        <v/>
      </c>
      <c r="AB120" s="135" t="str">
        <f t="shared" si="83"/>
        <v/>
      </c>
      <c r="AC120" s="135" t="str">
        <f t="shared" si="84"/>
        <v/>
      </c>
      <c r="AD120" s="136" t="str">
        <f t="shared" si="85"/>
        <v/>
      </c>
      <c r="AE120" s="136" t="str">
        <f t="shared" si="86"/>
        <v/>
      </c>
      <c r="AF120" s="136" t="str">
        <f t="shared" si="74"/>
        <v/>
      </c>
      <c r="AG120" s="136" t="str">
        <f t="shared" si="75"/>
        <v/>
      </c>
      <c r="AH120" s="137" t="str">
        <f t="shared" si="87"/>
        <v/>
      </c>
      <c r="AI120" s="135" t="str">
        <f t="shared" si="88"/>
        <v/>
      </c>
      <c r="AJ120" s="135" t="str">
        <f t="shared" si="89"/>
        <v/>
      </c>
      <c r="AK120" s="31" t="str">
        <f t="shared" si="90"/>
        <v/>
      </c>
      <c r="AL120" s="31" t="str">
        <f t="shared" si="91"/>
        <v/>
      </c>
    </row>
    <row r="121" spans="4:38" x14ac:dyDescent="0.25">
      <c r="D121" s="5" t="str">
        <f>IFERROR(VLOOKUP(E121,'Chemical data ref sheet'!$A$1:$E$163,2,FALSE),"")</f>
        <v/>
      </c>
      <c r="E121" s="16"/>
      <c r="F121" s="5" t="str">
        <f>IFERROR(VLOOKUP(E121,'Chemical data ref sheet'!$A$1:$E$163,3,FALSE),"")</f>
        <v/>
      </c>
      <c r="G121" s="5"/>
      <c r="H121" s="5" t="str">
        <f>IFERROR(VLOOKUP(E121,'Chemical data ref sheet'!$A$1:$E$163,4,FALSE),"")</f>
        <v/>
      </c>
      <c r="I121" s="5" t="str">
        <f>IFERROR(VLOOKUP(E121,'Chemical data ref sheet'!$A$1:$E$163,5,FALSE),"")</f>
        <v/>
      </c>
      <c r="J121" s="7"/>
      <c r="K121" s="7"/>
      <c r="L121" s="290"/>
      <c r="M121" s="7"/>
      <c r="N121" s="7"/>
      <c r="O121" s="7"/>
      <c r="P121" s="133">
        <f>SUMIFS('Product samples'!E:E, 'Product samples'!A:A, B121)</f>
        <v>0</v>
      </c>
      <c r="Q121" s="134">
        <f t="shared" si="76"/>
        <v>0</v>
      </c>
      <c r="R121" s="57" t="str">
        <f t="shared" si="70"/>
        <v/>
      </c>
      <c r="S121" s="135" t="str">
        <f t="shared" si="71"/>
        <v/>
      </c>
      <c r="T121" s="132" t="str">
        <f t="shared" si="77"/>
        <v/>
      </c>
      <c r="U121" s="32" t="str">
        <f t="shared" si="78"/>
        <v/>
      </c>
      <c r="V121" s="135" t="str">
        <f t="shared" si="79"/>
        <v/>
      </c>
      <c r="W121" s="136" t="str">
        <f t="shared" si="80"/>
        <v/>
      </c>
      <c r="X121" s="136" t="str">
        <f t="shared" si="81"/>
        <v/>
      </c>
      <c r="Y121" s="136" t="str">
        <f t="shared" si="72"/>
        <v/>
      </c>
      <c r="Z121" s="136" t="str">
        <f t="shared" si="73"/>
        <v/>
      </c>
      <c r="AA121" s="137" t="str">
        <f t="shared" si="82"/>
        <v/>
      </c>
      <c r="AB121" s="135" t="str">
        <f t="shared" si="83"/>
        <v/>
      </c>
      <c r="AC121" s="135" t="str">
        <f t="shared" si="84"/>
        <v/>
      </c>
      <c r="AD121" s="136" t="str">
        <f t="shared" si="85"/>
        <v/>
      </c>
      <c r="AE121" s="136" t="str">
        <f t="shared" si="86"/>
        <v/>
      </c>
      <c r="AF121" s="136" t="str">
        <f t="shared" si="74"/>
        <v/>
      </c>
      <c r="AG121" s="136" t="str">
        <f t="shared" si="75"/>
        <v/>
      </c>
      <c r="AH121" s="137" t="str">
        <f t="shared" si="87"/>
        <v/>
      </c>
      <c r="AI121" s="135" t="str">
        <f t="shared" si="88"/>
        <v/>
      </c>
      <c r="AJ121" s="135" t="str">
        <f t="shared" si="89"/>
        <v/>
      </c>
      <c r="AK121" s="31" t="str">
        <f t="shared" si="90"/>
        <v/>
      </c>
      <c r="AL121" s="31" t="str">
        <f t="shared" si="91"/>
        <v/>
      </c>
    </row>
    <row r="122" spans="4:38" x14ac:dyDescent="0.25">
      <c r="D122" s="5" t="str">
        <f>IFERROR(VLOOKUP(E122,'Chemical data ref sheet'!$A$1:$E$163,2,FALSE),"")</f>
        <v/>
      </c>
      <c r="E122" s="16"/>
      <c r="F122" s="5" t="str">
        <f>IFERROR(VLOOKUP(E122,'Chemical data ref sheet'!$A$1:$E$163,3,FALSE),"")</f>
        <v/>
      </c>
      <c r="G122" s="5"/>
      <c r="H122" s="5" t="str">
        <f>IFERROR(VLOOKUP(E122,'Chemical data ref sheet'!$A$1:$E$163,4,FALSE),"")</f>
        <v/>
      </c>
      <c r="I122" s="5" t="str">
        <f>IFERROR(VLOOKUP(E122,'Chemical data ref sheet'!$A$1:$E$163,5,FALSE),"")</f>
        <v/>
      </c>
      <c r="J122" s="7"/>
      <c r="K122" s="7"/>
      <c r="L122" s="290"/>
      <c r="M122" s="7"/>
      <c r="N122" s="7"/>
      <c r="O122" s="7"/>
      <c r="P122" s="133">
        <f>SUMIFS('Product samples'!E:E, 'Product samples'!A:A, B122)</f>
        <v>0</v>
      </c>
      <c r="Q122" s="134">
        <f t="shared" si="76"/>
        <v>0</v>
      </c>
      <c r="R122" s="57" t="str">
        <f t="shared" si="70"/>
        <v/>
      </c>
      <c r="S122" s="135" t="str">
        <f t="shared" si="71"/>
        <v/>
      </c>
      <c r="T122" s="132" t="str">
        <f t="shared" si="77"/>
        <v/>
      </c>
      <c r="U122" s="32" t="str">
        <f t="shared" si="78"/>
        <v/>
      </c>
      <c r="V122" s="135" t="str">
        <f t="shared" si="79"/>
        <v/>
      </c>
      <c r="W122" s="136" t="str">
        <f t="shared" si="80"/>
        <v/>
      </c>
      <c r="X122" s="136" t="str">
        <f t="shared" si="81"/>
        <v/>
      </c>
      <c r="Y122" s="136" t="str">
        <f t="shared" si="72"/>
        <v/>
      </c>
      <c r="Z122" s="136" t="str">
        <f t="shared" si="73"/>
        <v/>
      </c>
      <c r="AA122" s="137" t="str">
        <f t="shared" si="82"/>
        <v/>
      </c>
      <c r="AB122" s="135" t="str">
        <f t="shared" si="83"/>
        <v/>
      </c>
      <c r="AC122" s="135" t="str">
        <f t="shared" si="84"/>
        <v/>
      </c>
      <c r="AD122" s="136" t="str">
        <f t="shared" si="85"/>
        <v/>
      </c>
      <c r="AE122" s="136" t="str">
        <f t="shared" si="86"/>
        <v/>
      </c>
      <c r="AF122" s="136" t="str">
        <f t="shared" si="74"/>
        <v/>
      </c>
      <c r="AG122" s="136" t="str">
        <f t="shared" si="75"/>
        <v/>
      </c>
      <c r="AH122" s="137" t="str">
        <f t="shared" si="87"/>
        <v/>
      </c>
      <c r="AI122" s="135" t="str">
        <f t="shared" si="88"/>
        <v/>
      </c>
      <c r="AJ122" s="135" t="str">
        <f t="shared" si="89"/>
        <v/>
      </c>
      <c r="AK122" s="31" t="str">
        <f t="shared" si="90"/>
        <v/>
      </c>
      <c r="AL122" s="31" t="str">
        <f t="shared" si="91"/>
        <v/>
      </c>
    </row>
    <row r="123" spans="4:38" x14ac:dyDescent="0.25">
      <c r="D123" s="5" t="str">
        <f>IFERROR(VLOOKUP(E123,'Chemical data ref sheet'!$A$1:$E$163,2,FALSE),"")</f>
        <v/>
      </c>
      <c r="E123" s="16"/>
      <c r="F123" s="5" t="str">
        <f>IFERROR(VLOOKUP(E123,'Chemical data ref sheet'!$A$1:$E$163,3,FALSE),"")</f>
        <v/>
      </c>
      <c r="G123" s="5"/>
      <c r="H123" s="5" t="str">
        <f>IFERROR(VLOOKUP(E123,'Chemical data ref sheet'!$A$1:$E$163,4,FALSE),"")</f>
        <v/>
      </c>
      <c r="I123" s="5" t="str">
        <f>IFERROR(VLOOKUP(E123,'Chemical data ref sheet'!$A$1:$E$163,5,FALSE),"")</f>
        <v/>
      </c>
      <c r="J123" s="7"/>
      <c r="K123" s="7"/>
      <c r="L123" s="290"/>
      <c r="M123" s="7"/>
      <c r="N123" s="7"/>
      <c r="O123" s="7"/>
      <c r="P123" s="133">
        <f>SUMIFS('Product samples'!E:E, 'Product samples'!A:A, B123)</f>
        <v>0</v>
      </c>
      <c r="Q123" s="134">
        <f t="shared" si="76"/>
        <v>0</v>
      </c>
      <c r="R123" s="57" t="str">
        <f t="shared" si="70"/>
        <v/>
      </c>
      <c r="S123" s="135" t="str">
        <f t="shared" si="71"/>
        <v/>
      </c>
      <c r="T123" s="132" t="str">
        <f t="shared" si="77"/>
        <v/>
      </c>
      <c r="U123" s="32" t="str">
        <f t="shared" si="78"/>
        <v/>
      </c>
      <c r="V123" s="135" t="str">
        <f t="shared" si="79"/>
        <v/>
      </c>
      <c r="W123" s="136" t="str">
        <f t="shared" si="80"/>
        <v/>
      </c>
      <c r="X123" s="136" t="str">
        <f t="shared" si="81"/>
        <v/>
      </c>
      <c r="Y123" s="136" t="str">
        <f t="shared" si="72"/>
        <v/>
      </c>
      <c r="Z123" s="136" t="str">
        <f t="shared" si="73"/>
        <v/>
      </c>
      <c r="AA123" s="137" t="str">
        <f t="shared" si="82"/>
        <v/>
      </c>
      <c r="AB123" s="135" t="str">
        <f t="shared" si="83"/>
        <v/>
      </c>
      <c r="AC123" s="135" t="str">
        <f t="shared" si="84"/>
        <v/>
      </c>
      <c r="AD123" s="136" t="str">
        <f t="shared" si="85"/>
        <v/>
      </c>
      <c r="AE123" s="136" t="str">
        <f t="shared" si="86"/>
        <v/>
      </c>
      <c r="AF123" s="136" t="str">
        <f t="shared" si="74"/>
        <v/>
      </c>
      <c r="AG123" s="136" t="str">
        <f t="shared" si="75"/>
        <v/>
      </c>
      <c r="AH123" s="137" t="str">
        <f t="shared" si="87"/>
        <v/>
      </c>
      <c r="AI123" s="135" t="str">
        <f t="shared" si="88"/>
        <v/>
      </c>
      <c r="AJ123" s="135" t="str">
        <f t="shared" si="89"/>
        <v/>
      </c>
      <c r="AK123" s="31" t="str">
        <f t="shared" si="90"/>
        <v/>
      </c>
      <c r="AL123" s="31" t="str">
        <f t="shared" si="91"/>
        <v/>
      </c>
    </row>
    <row r="124" spans="4:38" x14ac:dyDescent="0.25">
      <c r="D124" s="5" t="str">
        <f>IFERROR(VLOOKUP(E124,'Chemical data ref sheet'!$A$1:$E$163,2,FALSE),"")</f>
        <v/>
      </c>
      <c r="E124" s="16"/>
      <c r="F124" s="5" t="str">
        <f>IFERROR(VLOOKUP(E124,'Chemical data ref sheet'!$A$1:$E$163,3,FALSE),"")</f>
        <v/>
      </c>
      <c r="G124" s="5"/>
      <c r="H124" s="5" t="str">
        <f>IFERROR(VLOOKUP(E124,'Chemical data ref sheet'!$A$1:$E$163,4,FALSE),"")</f>
        <v/>
      </c>
      <c r="I124" s="5" t="str">
        <f>IFERROR(VLOOKUP(E124,'Chemical data ref sheet'!$A$1:$E$163,5,FALSE),"")</f>
        <v/>
      </c>
      <c r="J124" s="7"/>
      <c r="K124" s="7"/>
      <c r="L124" s="290"/>
      <c r="M124" s="7"/>
      <c r="N124" s="7"/>
      <c r="O124" s="7"/>
      <c r="P124" s="133">
        <f>SUMIFS('Product samples'!E:E, 'Product samples'!A:A, B124)</f>
        <v>0</v>
      </c>
      <c r="Q124" s="134">
        <f t="shared" si="76"/>
        <v>0</v>
      </c>
      <c r="R124" s="57" t="str">
        <f t="shared" si="70"/>
        <v/>
      </c>
      <c r="S124" s="135" t="str">
        <f t="shared" si="71"/>
        <v/>
      </c>
      <c r="T124" s="132" t="str">
        <f t="shared" si="77"/>
        <v/>
      </c>
      <c r="U124" s="32" t="str">
        <f t="shared" si="78"/>
        <v/>
      </c>
      <c r="V124" s="135" t="str">
        <f t="shared" si="79"/>
        <v/>
      </c>
      <c r="W124" s="136" t="str">
        <f t="shared" si="80"/>
        <v/>
      </c>
      <c r="X124" s="136" t="str">
        <f t="shared" si="81"/>
        <v/>
      </c>
      <c r="Y124" s="136" t="str">
        <f t="shared" si="72"/>
        <v/>
      </c>
      <c r="Z124" s="136" t="str">
        <f t="shared" si="73"/>
        <v/>
      </c>
      <c r="AA124" s="137" t="str">
        <f t="shared" si="82"/>
        <v/>
      </c>
      <c r="AB124" s="135" t="str">
        <f t="shared" si="83"/>
        <v/>
      </c>
      <c r="AC124" s="135" t="str">
        <f t="shared" si="84"/>
        <v/>
      </c>
      <c r="AD124" s="136" t="str">
        <f t="shared" si="85"/>
        <v/>
      </c>
      <c r="AE124" s="136" t="str">
        <f t="shared" si="86"/>
        <v/>
      </c>
      <c r="AF124" s="136" t="str">
        <f t="shared" si="74"/>
        <v/>
      </c>
      <c r="AG124" s="136" t="str">
        <f t="shared" si="75"/>
        <v/>
      </c>
      <c r="AH124" s="137" t="str">
        <f t="shared" si="87"/>
        <v/>
      </c>
      <c r="AI124" s="135" t="str">
        <f t="shared" si="88"/>
        <v/>
      </c>
      <c r="AJ124" s="135" t="str">
        <f t="shared" si="89"/>
        <v/>
      </c>
      <c r="AK124" s="31" t="str">
        <f t="shared" si="90"/>
        <v/>
      </c>
      <c r="AL124" s="31" t="str">
        <f t="shared" si="91"/>
        <v/>
      </c>
    </row>
    <row r="125" spans="4:38" x14ac:dyDescent="0.25">
      <c r="D125" s="5" t="str">
        <f>IFERROR(VLOOKUP(E125,'Chemical data ref sheet'!$A$1:$E$163,2,FALSE),"")</f>
        <v/>
      </c>
      <c r="E125" s="16"/>
      <c r="F125" s="5" t="str">
        <f>IFERROR(VLOOKUP(E125,'Chemical data ref sheet'!$A$1:$E$163,3,FALSE),"")</f>
        <v/>
      </c>
      <c r="G125" s="5"/>
      <c r="H125" s="5" t="str">
        <f>IFERROR(VLOOKUP(E125,'Chemical data ref sheet'!$A$1:$E$163,4,FALSE),"")</f>
        <v/>
      </c>
      <c r="I125" s="5" t="str">
        <f>IFERROR(VLOOKUP(E125,'Chemical data ref sheet'!$A$1:$E$163,5,FALSE),"")</f>
        <v/>
      </c>
      <c r="J125" s="7"/>
      <c r="K125" s="7"/>
      <c r="L125" s="290"/>
      <c r="M125" s="7"/>
      <c r="N125" s="7"/>
      <c r="O125" s="7"/>
      <c r="P125" s="133">
        <f>SUMIFS('Product samples'!E:E, 'Product samples'!A:A, B125)</f>
        <v>0</v>
      </c>
      <c r="Q125" s="134">
        <f t="shared" si="76"/>
        <v>0</v>
      </c>
      <c r="R125" s="57" t="str">
        <f t="shared" si="70"/>
        <v/>
      </c>
      <c r="S125" s="135" t="str">
        <f t="shared" si="71"/>
        <v/>
      </c>
      <c r="T125" s="132" t="str">
        <f t="shared" si="77"/>
        <v/>
      </c>
      <c r="U125" s="32" t="str">
        <f t="shared" si="78"/>
        <v/>
      </c>
      <c r="V125" s="135" t="str">
        <f t="shared" si="79"/>
        <v/>
      </c>
      <c r="W125" s="136" t="str">
        <f t="shared" si="80"/>
        <v/>
      </c>
      <c r="X125" s="136" t="str">
        <f t="shared" si="81"/>
        <v/>
      </c>
      <c r="Y125" s="136" t="str">
        <f t="shared" si="72"/>
        <v/>
      </c>
      <c r="Z125" s="136" t="str">
        <f t="shared" si="73"/>
        <v/>
      </c>
      <c r="AA125" s="137" t="str">
        <f t="shared" si="82"/>
        <v/>
      </c>
      <c r="AB125" s="135" t="str">
        <f t="shared" si="83"/>
        <v/>
      </c>
      <c r="AC125" s="135" t="str">
        <f t="shared" si="84"/>
        <v/>
      </c>
      <c r="AD125" s="136" t="str">
        <f t="shared" si="85"/>
        <v/>
      </c>
      <c r="AE125" s="136" t="str">
        <f t="shared" si="86"/>
        <v/>
      </c>
      <c r="AF125" s="136" t="str">
        <f t="shared" si="74"/>
        <v/>
      </c>
      <c r="AG125" s="136" t="str">
        <f t="shared" si="75"/>
        <v/>
      </c>
      <c r="AH125" s="137" t="str">
        <f t="shared" si="87"/>
        <v/>
      </c>
      <c r="AI125" s="135" t="str">
        <f t="shared" si="88"/>
        <v/>
      </c>
      <c r="AJ125" s="135" t="str">
        <f t="shared" si="89"/>
        <v/>
      </c>
      <c r="AK125" s="31" t="str">
        <f t="shared" si="90"/>
        <v/>
      </c>
      <c r="AL125" s="31" t="str">
        <f t="shared" si="91"/>
        <v/>
      </c>
    </row>
    <row r="126" spans="4:38" x14ac:dyDescent="0.25">
      <c r="D126" s="5" t="str">
        <f>IFERROR(VLOOKUP(E126,'Chemical data ref sheet'!$A$1:$E$163,2,FALSE),"")</f>
        <v/>
      </c>
      <c r="E126" s="16"/>
      <c r="F126" s="5" t="str">
        <f>IFERROR(VLOOKUP(E126,'Chemical data ref sheet'!$A$1:$E$163,3,FALSE),"")</f>
        <v/>
      </c>
      <c r="G126" s="5"/>
      <c r="H126" s="5" t="str">
        <f>IFERROR(VLOOKUP(E126,'Chemical data ref sheet'!$A$1:$E$163,4,FALSE),"")</f>
        <v/>
      </c>
      <c r="I126" s="5" t="str">
        <f>IFERROR(VLOOKUP(E126,'Chemical data ref sheet'!$A$1:$E$163,5,FALSE),"")</f>
        <v/>
      </c>
      <c r="J126" s="7"/>
      <c r="K126" s="7"/>
      <c r="L126" s="290"/>
      <c r="M126" s="7"/>
      <c r="N126" s="7"/>
      <c r="O126" s="7"/>
      <c r="P126" s="133">
        <f>SUMIFS('Product samples'!E:E, 'Product samples'!A:A, B126)</f>
        <v>0</v>
      </c>
      <c r="Q126" s="134">
        <f t="shared" si="76"/>
        <v>0</v>
      </c>
      <c r="R126" s="57" t="str">
        <f t="shared" si="70"/>
        <v/>
      </c>
      <c r="S126" s="135" t="str">
        <f t="shared" si="71"/>
        <v/>
      </c>
      <c r="T126" s="132" t="str">
        <f t="shared" si="77"/>
        <v/>
      </c>
      <c r="U126" s="32" t="str">
        <f t="shared" si="78"/>
        <v/>
      </c>
      <c r="V126" s="135" t="str">
        <f t="shared" si="79"/>
        <v/>
      </c>
      <c r="W126" s="136" t="str">
        <f t="shared" si="80"/>
        <v/>
      </c>
      <c r="X126" s="136" t="str">
        <f t="shared" si="81"/>
        <v/>
      </c>
      <c r="Y126" s="136" t="str">
        <f t="shared" si="72"/>
        <v/>
      </c>
      <c r="Z126" s="136" t="str">
        <f t="shared" si="73"/>
        <v/>
      </c>
      <c r="AA126" s="137" t="str">
        <f t="shared" si="82"/>
        <v/>
      </c>
      <c r="AB126" s="135" t="str">
        <f t="shared" si="83"/>
        <v/>
      </c>
      <c r="AC126" s="135" t="str">
        <f t="shared" si="84"/>
        <v/>
      </c>
      <c r="AD126" s="136" t="str">
        <f t="shared" si="85"/>
        <v/>
      </c>
      <c r="AE126" s="136" t="str">
        <f t="shared" si="86"/>
        <v/>
      </c>
      <c r="AF126" s="136" t="str">
        <f t="shared" si="74"/>
        <v/>
      </c>
      <c r="AG126" s="136" t="str">
        <f t="shared" si="75"/>
        <v/>
      </c>
      <c r="AH126" s="137" t="str">
        <f t="shared" si="87"/>
        <v/>
      </c>
      <c r="AI126" s="135" t="str">
        <f t="shared" si="88"/>
        <v/>
      </c>
      <c r="AJ126" s="135" t="str">
        <f t="shared" si="89"/>
        <v/>
      </c>
      <c r="AK126" s="31" t="str">
        <f t="shared" si="90"/>
        <v/>
      </c>
      <c r="AL126" s="31" t="str">
        <f t="shared" si="91"/>
        <v/>
      </c>
    </row>
    <row r="127" spans="4:38" x14ac:dyDescent="0.25">
      <c r="D127" s="5" t="str">
        <f>IFERROR(VLOOKUP(E127,'Chemical data ref sheet'!$A$1:$E$163,2,FALSE),"")</f>
        <v/>
      </c>
      <c r="E127" s="16"/>
      <c r="F127" s="5" t="str">
        <f>IFERROR(VLOOKUP(E127,'Chemical data ref sheet'!$A$1:$E$163,3,FALSE),"")</f>
        <v/>
      </c>
      <c r="G127" s="5"/>
      <c r="H127" s="5" t="str">
        <f>IFERROR(VLOOKUP(E127,'Chemical data ref sheet'!$A$1:$E$163,4,FALSE),"")</f>
        <v/>
      </c>
      <c r="I127" s="5" t="str">
        <f>IFERROR(VLOOKUP(E127,'Chemical data ref sheet'!$A$1:$E$163,5,FALSE),"")</f>
        <v/>
      </c>
      <c r="J127" s="7"/>
      <c r="K127" s="7"/>
      <c r="L127" s="290"/>
      <c r="M127" s="7"/>
      <c r="N127" s="7"/>
      <c r="O127" s="7"/>
      <c r="P127" s="133">
        <f>SUMIFS('Product samples'!E:E, 'Product samples'!A:A, B127)</f>
        <v>0</v>
      </c>
      <c r="Q127" s="134">
        <f t="shared" si="76"/>
        <v>0</v>
      </c>
      <c r="R127" s="57" t="str">
        <f t="shared" si="70"/>
        <v/>
      </c>
      <c r="S127" s="135" t="str">
        <f t="shared" si="71"/>
        <v/>
      </c>
      <c r="T127" s="132" t="str">
        <f t="shared" si="77"/>
        <v/>
      </c>
      <c r="U127" s="32" t="str">
        <f t="shared" si="78"/>
        <v/>
      </c>
      <c r="V127" s="135" t="str">
        <f t="shared" si="79"/>
        <v/>
      </c>
      <c r="W127" s="136" t="str">
        <f t="shared" si="80"/>
        <v/>
      </c>
      <c r="X127" s="136" t="str">
        <f t="shared" si="81"/>
        <v/>
      </c>
      <c r="Y127" s="136" t="str">
        <f t="shared" si="72"/>
        <v/>
      </c>
      <c r="Z127" s="136" t="str">
        <f t="shared" si="73"/>
        <v/>
      </c>
      <c r="AA127" s="137" t="str">
        <f t="shared" si="82"/>
        <v/>
      </c>
      <c r="AB127" s="135" t="str">
        <f t="shared" si="83"/>
        <v/>
      </c>
      <c r="AC127" s="135" t="str">
        <f t="shared" si="84"/>
        <v/>
      </c>
      <c r="AD127" s="136" t="str">
        <f t="shared" si="85"/>
        <v/>
      </c>
      <c r="AE127" s="136" t="str">
        <f t="shared" si="86"/>
        <v/>
      </c>
      <c r="AF127" s="136" t="str">
        <f t="shared" si="74"/>
        <v/>
      </c>
      <c r="AG127" s="136" t="str">
        <f t="shared" si="75"/>
        <v/>
      </c>
      <c r="AH127" s="137" t="str">
        <f t="shared" si="87"/>
        <v/>
      </c>
      <c r="AI127" s="135" t="str">
        <f t="shared" si="88"/>
        <v/>
      </c>
      <c r="AJ127" s="135" t="str">
        <f t="shared" si="89"/>
        <v/>
      </c>
      <c r="AK127" s="31" t="str">
        <f t="shared" si="90"/>
        <v/>
      </c>
      <c r="AL127" s="31" t="str">
        <f t="shared" si="91"/>
        <v/>
      </c>
    </row>
    <row r="128" spans="4:38" x14ac:dyDescent="0.25">
      <c r="D128" s="5" t="str">
        <f>IFERROR(VLOOKUP(E128,'Chemical data ref sheet'!$A$1:$E$163,2,FALSE),"")</f>
        <v/>
      </c>
      <c r="E128" s="16"/>
      <c r="F128" s="5" t="str">
        <f>IFERROR(VLOOKUP(E128,'Chemical data ref sheet'!$A$1:$E$163,3,FALSE),"")</f>
        <v/>
      </c>
      <c r="G128" s="5"/>
      <c r="H128" s="5" t="str">
        <f>IFERROR(VLOOKUP(E128,'Chemical data ref sheet'!$A$1:$E$163,4,FALSE),"")</f>
        <v/>
      </c>
      <c r="I128" s="5" t="str">
        <f>IFERROR(VLOOKUP(E128,'Chemical data ref sheet'!$A$1:$E$163,5,FALSE),"")</f>
        <v/>
      </c>
      <c r="J128" s="7"/>
      <c r="K128" s="7"/>
      <c r="L128" s="290"/>
      <c r="M128" s="7"/>
      <c r="N128" s="7"/>
      <c r="O128" s="7"/>
      <c r="P128" s="133">
        <f>SUMIFS('Product samples'!E:E, 'Product samples'!A:A, B128)</f>
        <v>0</v>
      </c>
      <c r="Q128" s="134">
        <f t="shared" si="76"/>
        <v>0</v>
      </c>
      <c r="R128" s="57" t="str">
        <f t="shared" si="70"/>
        <v/>
      </c>
      <c r="S128" s="135" t="str">
        <f t="shared" si="71"/>
        <v/>
      </c>
      <c r="T128" s="132" t="str">
        <f t="shared" si="77"/>
        <v/>
      </c>
      <c r="U128" s="32" t="str">
        <f t="shared" si="78"/>
        <v/>
      </c>
      <c r="V128" s="135" t="str">
        <f t="shared" si="79"/>
        <v/>
      </c>
      <c r="W128" s="136" t="str">
        <f t="shared" si="80"/>
        <v/>
      </c>
      <c r="X128" s="136" t="str">
        <f t="shared" si="81"/>
        <v/>
      </c>
      <c r="Y128" s="136" t="str">
        <f t="shared" si="72"/>
        <v/>
      </c>
      <c r="Z128" s="136" t="str">
        <f t="shared" si="73"/>
        <v/>
      </c>
      <c r="AA128" s="137" t="str">
        <f t="shared" si="82"/>
        <v/>
      </c>
      <c r="AB128" s="135" t="str">
        <f t="shared" si="83"/>
        <v/>
      </c>
      <c r="AC128" s="135" t="str">
        <f t="shared" si="84"/>
        <v/>
      </c>
      <c r="AD128" s="136" t="str">
        <f t="shared" si="85"/>
        <v/>
      </c>
      <c r="AE128" s="136" t="str">
        <f t="shared" si="86"/>
        <v/>
      </c>
      <c r="AF128" s="136" t="str">
        <f t="shared" si="74"/>
        <v/>
      </c>
      <c r="AG128" s="136" t="str">
        <f t="shared" si="75"/>
        <v/>
      </c>
      <c r="AH128" s="137" t="str">
        <f t="shared" si="87"/>
        <v/>
      </c>
      <c r="AI128" s="135" t="str">
        <f t="shared" si="88"/>
        <v/>
      </c>
      <c r="AJ128" s="135" t="str">
        <f t="shared" si="89"/>
        <v/>
      </c>
      <c r="AK128" s="31" t="str">
        <f t="shared" si="90"/>
        <v/>
      </c>
      <c r="AL128" s="31" t="str">
        <f t="shared" si="91"/>
        <v/>
      </c>
    </row>
    <row r="129" spans="4:38" x14ac:dyDescent="0.25">
      <c r="D129" s="5" t="str">
        <f>IFERROR(VLOOKUP(E129,'Chemical data ref sheet'!$A$1:$E$163,2,FALSE),"")</f>
        <v/>
      </c>
      <c r="E129" s="16"/>
      <c r="F129" s="5" t="str">
        <f>IFERROR(VLOOKUP(E129,'Chemical data ref sheet'!$A$1:$E$163,3,FALSE),"")</f>
        <v/>
      </c>
      <c r="G129" s="5"/>
      <c r="H129" s="5" t="str">
        <f>IFERROR(VLOOKUP(E129,'Chemical data ref sheet'!$A$1:$E$163,4,FALSE),"")</f>
        <v/>
      </c>
      <c r="I129" s="5" t="str">
        <f>IFERROR(VLOOKUP(E129,'Chemical data ref sheet'!$A$1:$E$163,5,FALSE),"")</f>
        <v/>
      </c>
      <c r="J129" s="7"/>
      <c r="K129" s="7"/>
      <c r="L129" s="290"/>
      <c r="M129" s="7"/>
      <c r="N129" s="7"/>
      <c r="O129" s="7"/>
      <c r="P129" s="133">
        <f>SUMIFS('Product samples'!E:E, 'Product samples'!A:A, B129)</f>
        <v>0</v>
      </c>
      <c r="Q129" s="134">
        <f t="shared" si="76"/>
        <v>0</v>
      </c>
      <c r="R129" s="57" t="str">
        <f t="shared" si="70"/>
        <v/>
      </c>
      <c r="S129" s="135" t="str">
        <f t="shared" si="71"/>
        <v/>
      </c>
      <c r="T129" s="132" t="str">
        <f t="shared" si="77"/>
        <v/>
      </c>
      <c r="U129" s="32" t="str">
        <f t="shared" si="78"/>
        <v/>
      </c>
      <c r="V129" s="135" t="str">
        <f t="shared" si="79"/>
        <v/>
      </c>
      <c r="W129" s="136" t="str">
        <f t="shared" si="80"/>
        <v/>
      </c>
      <c r="X129" s="136" t="str">
        <f t="shared" si="81"/>
        <v/>
      </c>
      <c r="Y129" s="136" t="str">
        <f t="shared" si="72"/>
        <v/>
      </c>
      <c r="Z129" s="136" t="str">
        <f t="shared" si="73"/>
        <v/>
      </c>
      <c r="AA129" s="137" t="str">
        <f t="shared" si="82"/>
        <v/>
      </c>
      <c r="AB129" s="135" t="str">
        <f t="shared" si="83"/>
        <v/>
      </c>
      <c r="AC129" s="135" t="str">
        <f t="shared" si="84"/>
        <v/>
      </c>
      <c r="AD129" s="136" t="str">
        <f t="shared" si="85"/>
        <v/>
      </c>
      <c r="AE129" s="136" t="str">
        <f t="shared" si="86"/>
        <v/>
      </c>
      <c r="AF129" s="136" t="str">
        <f t="shared" si="74"/>
        <v/>
      </c>
      <c r="AG129" s="136" t="str">
        <f t="shared" si="75"/>
        <v/>
      </c>
      <c r="AH129" s="137" t="str">
        <f t="shared" si="87"/>
        <v/>
      </c>
      <c r="AI129" s="135" t="str">
        <f t="shared" si="88"/>
        <v/>
      </c>
      <c r="AJ129" s="135" t="str">
        <f t="shared" si="89"/>
        <v/>
      </c>
      <c r="AK129" s="31" t="str">
        <f t="shared" si="90"/>
        <v/>
      </c>
      <c r="AL129" s="31" t="str">
        <f t="shared" si="91"/>
        <v/>
      </c>
    </row>
    <row r="130" spans="4:38" x14ac:dyDescent="0.25">
      <c r="D130" s="5" t="str">
        <f>IFERROR(VLOOKUP(E130,'Chemical data ref sheet'!$A$1:$E$163,2,FALSE),"")</f>
        <v/>
      </c>
      <c r="E130" s="16"/>
      <c r="F130" s="5" t="str">
        <f>IFERROR(VLOOKUP(E130,'Chemical data ref sheet'!$A$1:$E$163,3,FALSE),"")</f>
        <v/>
      </c>
      <c r="G130" s="5"/>
      <c r="H130" s="5" t="str">
        <f>IFERROR(VLOOKUP(E130,'Chemical data ref sheet'!$A$1:$E$163,4,FALSE),"")</f>
        <v/>
      </c>
      <c r="I130" s="5" t="str">
        <f>IFERROR(VLOOKUP(E130,'Chemical data ref sheet'!$A$1:$E$163,5,FALSE),"")</f>
        <v/>
      </c>
      <c r="J130" s="7"/>
      <c r="K130" s="7"/>
      <c r="L130" s="290"/>
      <c r="M130" s="7"/>
      <c r="N130" s="7"/>
      <c r="O130" s="7"/>
      <c r="P130" s="133">
        <f>SUMIFS('Product samples'!E:E, 'Product samples'!A:A, B130)</f>
        <v>0</v>
      </c>
      <c r="Q130" s="134">
        <f t="shared" si="76"/>
        <v>0</v>
      </c>
      <c r="R130" s="57" t="str">
        <f t="shared" ref="R130:R193" si="92">IFERROR(IF(G130="",VLOOKUP(C130,$B$1:$W$254,22,FALSE),VLOOKUP(C130,$B$1:$W$254,22,FALSE)*(G130/VLOOKUP(C130,$B$1:$X$254,23,FALSE))),"")</f>
        <v/>
      </c>
      <c r="S130" s="135" t="str">
        <f t="shared" ref="S130:S193" si="93">IFERROR(IF(G130="",VLOOKUP(C130,$B$1:$X$254,23,FALSE),VLOOKUP(C130,$B$1:$X$254,23,FALSE)*(G130/VLOOKUP(C130,$B$1:$X$254,23,FALSE))),"")</f>
        <v/>
      </c>
      <c r="T130" s="132" t="str">
        <f t="shared" si="77"/>
        <v/>
      </c>
      <c r="U130" s="32" t="str">
        <f t="shared" si="78"/>
        <v/>
      </c>
      <c r="V130" s="135" t="str">
        <f t="shared" si="79"/>
        <v/>
      </c>
      <c r="W130" s="136" t="str">
        <f t="shared" si="80"/>
        <v/>
      </c>
      <c r="X130" s="136" t="str">
        <f t="shared" si="81"/>
        <v/>
      </c>
      <c r="Y130" s="136" t="str">
        <f t="shared" ref="Y130:Y193" si="94">IFERROR(IF(G130="",VLOOKUP(C130,$B$1:$AD$254,29,FALSE),VLOOKUP(C130,$B$1:$AD$254,29,FALSE)*(G130/VLOOKUP(C130,$B$1:$AE$254,30,FALSE))),"")</f>
        <v/>
      </c>
      <c r="Z130" s="136" t="str">
        <f t="shared" ref="Z130:Z193" si="95">IFERROR(IF(G130="",VLOOKUP(C130,$B$1:$AE$254,30,FALSE),VLOOKUP(C130,$B$1:$AE$254,30,FALSE)*(G130/VLOOKUP(C130,$B$1:$AE$254,30,FALSE))),"")</f>
        <v/>
      </c>
      <c r="AA130" s="137" t="str">
        <f t="shared" si="82"/>
        <v/>
      </c>
      <c r="AB130" s="135" t="str">
        <f t="shared" si="83"/>
        <v/>
      </c>
      <c r="AC130" s="135" t="str">
        <f t="shared" si="84"/>
        <v/>
      </c>
      <c r="AD130" s="136" t="str">
        <f t="shared" si="85"/>
        <v/>
      </c>
      <c r="AE130" s="136" t="str">
        <f t="shared" si="86"/>
        <v/>
      </c>
      <c r="AF130" s="136" t="str">
        <f t="shared" ref="AF130:AF193" si="96">IFERROR(IF(G130="",VLOOKUP(C130,$B$1:$AK$254,36,FALSE),VLOOKUP(C130,$B$1:$AK$254,36,FALSE)*(G130/VLOOKUP(C130,$B$1:$AL$254,37,FALSE))),"")</f>
        <v/>
      </c>
      <c r="AG130" s="136" t="str">
        <f t="shared" ref="AG130:AG193" si="97">IFERROR(IF(G130="",VLOOKUP(C130,$B$1:$AL$254,37,FALSE),VLOOKUP(C130,$B$1:$AL$254,37,FALSE)*(G130/VLOOKUP(C130,$B$1:$AL$254,37,FALSE))),"")</f>
        <v/>
      </c>
      <c r="AH130" s="137" t="str">
        <f t="shared" si="87"/>
        <v/>
      </c>
      <c r="AI130" s="135" t="str">
        <f t="shared" si="88"/>
        <v/>
      </c>
      <c r="AJ130" s="135" t="str">
        <f t="shared" si="89"/>
        <v/>
      </c>
      <c r="AK130" s="31" t="str">
        <f t="shared" si="90"/>
        <v/>
      </c>
      <c r="AL130" s="31" t="str">
        <f t="shared" si="91"/>
        <v/>
      </c>
    </row>
    <row r="131" spans="4:38" x14ac:dyDescent="0.25">
      <c r="D131" s="5" t="str">
        <f>IFERROR(VLOOKUP(E131,'Chemical data ref sheet'!$A$1:$E$163,2,FALSE),"")</f>
        <v/>
      </c>
      <c r="E131" s="16"/>
      <c r="F131" s="5" t="str">
        <f>IFERROR(VLOOKUP(E131,'Chemical data ref sheet'!$A$1:$E$163,3,FALSE),"")</f>
        <v/>
      </c>
      <c r="G131" s="5"/>
      <c r="H131" s="5" t="str">
        <f>IFERROR(VLOOKUP(E131,'Chemical data ref sheet'!$A$1:$E$163,4,FALSE),"")</f>
        <v/>
      </c>
      <c r="I131" s="5" t="str">
        <f>IFERROR(VLOOKUP(E131,'Chemical data ref sheet'!$A$1:$E$163,5,FALSE),"")</f>
        <v/>
      </c>
      <c r="J131" s="7"/>
      <c r="K131" s="7"/>
      <c r="L131" s="290"/>
      <c r="M131" s="7"/>
      <c r="N131" s="7"/>
      <c r="O131" s="7"/>
      <c r="P131" s="133">
        <f>SUMIFS('Product samples'!E:E, 'Product samples'!A:A, B131)</f>
        <v>0</v>
      </c>
      <c r="Q131" s="134">
        <f t="shared" si="76"/>
        <v>0</v>
      </c>
      <c r="R131" s="57" t="str">
        <f t="shared" si="92"/>
        <v/>
      </c>
      <c r="S131" s="135" t="str">
        <f t="shared" si="93"/>
        <v/>
      </c>
      <c r="T131" s="132" t="str">
        <f t="shared" si="77"/>
        <v/>
      </c>
      <c r="U131" s="32" t="str">
        <f t="shared" si="78"/>
        <v/>
      </c>
      <c r="V131" s="135" t="str">
        <f t="shared" si="79"/>
        <v/>
      </c>
      <c r="W131" s="136" t="str">
        <f t="shared" si="80"/>
        <v/>
      </c>
      <c r="X131" s="136" t="str">
        <f t="shared" si="81"/>
        <v/>
      </c>
      <c r="Y131" s="136" t="str">
        <f t="shared" si="94"/>
        <v/>
      </c>
      <c r="Z131" s="136" t="str">
        <f t="shared" si="95"/>
        <v/>
      </c>
      <c r="AA131" s="137" t="str">
        <f t="shared" si="82"/>
        <v/>
      </c>
      <c r="AB131" s="135" t="str">
        <f t="shared" si="83"/>
        <v/>
      </c>
      <c r="AC131" s="135" t="str">
        <f t="shared" si="84"/>
        <v/>
      </c>
      <c r="AD131" s="136" t="str">
        <f t="shared" si="85"/>
        <v/>
      </c>
      <c r="AE131" s="136" t="str">
        <f t="shared" si="86"/>
        <v/>
      </c>
      <c r="AF131" s="136" t="str">
        <f t="shared" si="96"/>
        <v/>
      </c>
      <c r="AG131" s="136" t="str">
        <f t="shared" si="97"/>
        <v/>
      </c>
      <c r="AH131" s="137" t="str">
        <f t="shared" si="87"/>
        <v/>
      </c>
      <c r="AI131" s="135" t="str">
        <f t="shared" si="88"/>
        <v/>
      </c>
      <c r="AJ131" s="135" t="str">
        <f t="shared" si="89"/>
        <v/>
      </c>
      <c r="AK131" s="31" t="str">
        <f t="shared" si="90"/>
        <v/>
      </c>
      <c r="AL131" s="31" t="str">
        <f t="shared" si="91"/>
        <v/>
      </c>
    </row>
    <row r="132" spans="4:38" x14ac:dyDescent="0.25">
      <c r="D132" s="5" t="str">
        <f>IFERROR(VLOOKUP(E132,'Chemical data ref sheet'!$A$1:$E$163,2,FALSE),"")</f>
        <v/>
      </c>
      <c r="E132" s="16"/>
      <c r="F132" s="5" t="str">
        <f>IFERROR(VLOOKUP(E132,'Chemical data ref sheet'!$A$1:$E$163,3,FALSE),"")</f>
        <v/>
      </c>
      <c r="G132" s="5"/>
      <c r="H132" s="5" t="str">
        <f>IFERROR(VLOOKUP(E132,'Chemical data ref sheet'!$A$1:$E$163,4,FALSE),"")</f>
        <v/>
      </c>
      <c r="I132" s="5" t="str">
        <f>IFERROR(VLOOKUP(E132,'Chemical data ref sheet'!$A$1:$E$163,5,FALSE),"")</f>
        <v/>
      </c>
      <c r="J132" s="7"/>
      <c r="K132" s="7"/>
      <c r="L132" s="290"/>
      <c r="M132" s="7"/>
      <c r="N132" s="7"/>
      <c r="O132" s="7"/>
      <c r="P132" s="133">
        <f>SUMIFS('Product samples'!E:E, 'Product samples'!A:A, B132)</f>
        <v>0</v>
      </c>
      <c r="Q132" s="134">
        <f t="shared" si="76"/>
        <v>0</v>
      </c>
      <c r="R132" s="57" t="str">
        <f t="shared" si="92"/>
        <v/>
      </c>
      <c r="S132" s="135" t="str">
        <f t="shared" si="93"/>
        <v/>
      </c>
      <c r="T132" s="132" t="str">
        <f t="shared" si="77"/>
        <v/>
      </c>
      <c r="U132" s="32" t="str">
        <f t="shared" si="78"/>
        <v/>
      </c>
      <c r="V132" s="135" t="str">
        <f t="shared" si="79"/>
        <v/>
      </c>
      <c r="W132" s="136" t="str">
        <f t="shared" si="80"/>
        <v/>
      </c>
      <c r="X132" s="136" t="str">
        <f t="shared" si="81"/>
        <v/>
      </c>
      <c r="Y132" s="136" t="str">
        <f t="shared" si="94"/>
        <v/>
      </c>
      <c r="Z132" s="136" t="str">
        <f t="shared" si="95"/>
        <v/>
      </c>
      <c r="AA132" s="137" t="str">
        <f t="shared" si="82"/>
        <v/>
      </c>
      <c r="AB132" s="135" t="str">
        <f t="shared" si="83"/>
        <v/>
      </c>
      <c r="AC132" s="135" t="str">
        <f t="shared" si="84"/>
        <v/>
      </c>
      <c r="AD132" s="136" t="str">
        <f t="shared" si="85"/>
        <v/>
      </c>
      <c r="AE132" s="136" t="str">
        <f t="shared" si="86"/>
        <v/>
      </c>
      <c r="AF132" s="136" t="str">
        <f t="shared" si="96"/>
        <v/>
      </c>
      <c r="AG132" s="136" t="str">
        <f t="shared" si="97"/>
        <v/>
      </c>
      <c r="AH132" s="137" t="str">
        <f t="shared" si="87"/>
        <v/>
      </c>
      <c r="AI132" s="135" t="str">
        <f t="shared" si="88"/>
        <v/>
      </c>
      <c r="AJ132" s="135" t="str">
        <f t="shared" si="89"/>
        <v/>
      </c>
      <c r="AK132" s="31" t="str">
        <f t="shared" si="90"/>
        <v/>
      </c>
      <c r="AL132" s="31" t="str">
        <f t="shared" si="91"/>
        <v/>
      </c>
    </row>
    <row r="133" spans="4:38" x14ac:dyDescent="0.25">
      <c r="D133" s="5" t="str">
        <f>IFERROR(VLOOKUP(E133,'Chemical data ref sheet'!$A$1:$E$163,2,FALSE),"")</f>
        <v/>
      </c>
      <c r="E133" s="16"/>
      <c r="F133" s="5" t="str">
        <f>IFERROR(VLOOKUP(E133,'Chemical data ref sheet'!$A$1:$E$163,3,FALSE),"")</f>
        <v/>
      </c>
      <c r="G133" s="5"/>
      <c r="H133" s="5" t="str">
        <f>IFERROR(VLOOKUP(E133,'Chemical data ref sheet'!$A$1:$E$163,4,FALSE),"")</f>
        <v/>
      </c>
      <c r="I133" s="5" t="str">
        <f>IFERROR(VLOOKUP(E133,'Chemical data ref sheet'!$A$1:$E$163,5,FALSE),"")</f>
        <v/>
      </c>
      <c r="J133" s="7"/>
      <c r="K133" s="7"/>
      <c r="L133" s="290"/>
      <c r="M133" s="7"/>
      <c r="N133" s="7"/>
      <c r="O133" s="7"/>
      <c r="P133" s="133">
        <f>SUMIFS('Product samples'!E:E, 'Product samples'!A:A, B133)</f>
        <v>0</v>
      </c>
      <c r="Q133" s="134">
        <f t="shared" si="76"/>
        <v>0</v>
      </c>
      <c r="R133" s="57" t="str">
        <f t="shared" si="92"/>
        <v/>
      </c>
      <c r="S133" s="135" t="str">
        <f t="shared" si="93"/>
        <v/>
      </c>
      <c r="T133" s="132" t="str">
        <f t="shared" si="77"/>
        <v/>
      </c>
      <c r="U133" s="32" t="str">
        <f t="shared" si="78"/>
        <v/>
      </c>
      <c r="V133" s="135" t="str">
        <f t="shared" si="79"/>
        <v/>
      </c>
      <c r="W133" s="136" t="str">
        <f t="shared" si="80"/>
        <v/>
      </c>
      <c r="X133" s="136" t="str">
        <f t="shared" si="81"/>
        <v/>
      </c>
      <c r="Y133" s="136" t="str">
        <f t="shared" si="94"/>
        <v/>
      </c>
      <c r="Z133" s="136" t="str">
        <f t="shared" si="95"/>
        <v/>
      </c>
      <c r="AA133" s="137" t="str">
        <f t="shared" si="82"/>
        <v/>
      </c>
      <c r="AB133" s="135" t="str">
        <f t="shared" si="83"/>
        <v/>
      </c>
      <c r="AC133" s="135" t="str">
        <f t="shared" si="84"/>
        <v/>
      </c>
      <c r="AD133" s="136" t="str">
        <f t="shared" si="85"/>
        <v/>
      </c>
      <c r="AE133" s="136" t="str">
        <f t="shared" si="86"/>
        <v/>
      </c>
      <c r="AF133" s="136" t="str">
        <f t="shared" si="96"/>
        <v/>
      </c>
      <c r="AG133" s="136" t="str">
        <f t="shared" si="97"/>
        <v/>
      </c>
      <c r="AH133" s="137" t="str">
        <f t="shared" si="87"/>
        <v/>
      </c>
      <c r="AI133" s="135" t="str">
        <f t="shared" si="88"/>
        <v/>
      </c>
      <c r="AJ133" s="135" t="str">
        <f t="shared" si="89"/>
        <v/>
      </c>
      <c r="AK133" s="31" t="str">
        <f t="shared" si="90"/>
        <v/>
      </c>
      <c r="AL133" s="31" t="str">
        <f t="shared" si="91"/>
        <v/>
      </c>
    </row>
    <row r="134" spans="4:38" x14ac:dyDescent="0.25">
      <c r="D134" s="5" t="str">
        <f>IFERROR(VLOOKUP(E134,'Chemical data ref sheet'!$A$1:$E$163,2,FALSE),"")</f>
        <v/>
      </c>
      <c r="E134" s="16"/>
      <c r="F134" s="5" t="str">
        <f>IFERROR(VLOOKUP(E134,'Chemical data ref sheet'!$A$1:$E$163,3,FALSE),"")</f>
        <v/>
      </c>
      <c r="G134" s="5"/>
      <c r="H134" s="5" t="str">
        <f>IFERROR(VLOOKUP(E134,'Chemical data ref sheet'!$A$1:$E$163,4,FALSE),"")</f>
        <v/>
      </c>
      <c r="I134" s="5" t="str">
        <f>IFERROR(VLOOKUP(E134,'Chemical data ref sheet'!$A$1:$E$163,5,FALSE),"")</f>
        <v/>
      </c>
      <c r="J134" s="7"/>
      <c r="K134" s="7"/>
      <c r="L134" s="290"/>
      <c r="M134" s="7"/>
      <c r="N134" s="7"/>
      <c r="O134" s="7"/>
      <c r="P134" s="133">
        <f>SUMIFS('Product samples'!E:E, 'Product samples'!A:A, B134)</f>
        <v>0</v>
      </c>
      <c r="Q134" s="134">
        <f t="shared" si="76"/>
        <v>0</v>
      </c>
      <c r="R134" s="57" t="str">
        <f t="shared" si="92"/>
        <v/>
      </c>
      <c r="S134" s="135" t="str">
        <f t="shared" si="93"/>
        <v/>
      </c>
      <c r="T134" s="132" t="str">
        <f t="shared" si="77"/>
        <v/>
      </c>
      <c r="U134" s="32" t="str">
        <f t="shared" si="78"/>
        <v/>
      </c>
      <c r="V134" s="135" t="str">
        <f t="shared" si="79"/>
        <v/>
      </c>
      <c r="W134" s="136" t="str">
        <f t="shared" si="80"/>
        <v/>
      </c>
      <c r="X134" s="136" t="str">
        <f t="shared" si="81"/>
        <v/>
      </c>
      <c r="Y134" s="136" t="str">
        <f t="shared" si="94"/>
        <v/>
      </c>
      <c r="Z134" s="136" t="str">
        <f t="shared" si="95"/>
        <v/>
      </c>
      <c r="AA134" s="137" t="str">
        <f t="shared" si="82"/>
        <v/>
      </c>
      <c r="AB134" s="135" t="str">
        <f t="shared" si="83"/>
        <v/>
      </c>
      <c r="AC134" s="135" t="str">
        <f t="shared" si="84"/>
        <v/>
      </c>
      <c r="AD134" s="136" t="str">
        <f t="shared" si="85"/>
        <v/>
      </c>
      <c r="AE134" s="136" t="str">
        <f t="shared" si="86"/>
        <v/>
      </c>
      <c r="AF134" s="136" t="str">
        <f t="shared" si="96"/>
        <v/>
      </c>
      <c r="AG134" s="136" t="str">
        <f t="shared" si="97"/>
        <v/>
      </c>
      <c r="AH134" s="137" t="str">
        <f t="shared" si="87"/>
        <v/>
      </c>
      <c r="AI134" s="135" t="str">
        <f t="shared" si="88"/>
        <v/>
      </c>
      <c r="AJ134" s="135" t="str">
        <f t="shared" si="89"/>
        <v/>
      </c>
      <c r="AK134" s="31" t="str">
        <f t="shared" si="90"/>
        <v/>
      </c>
      <c r="AL134" s="31" t="str">
        <f t="shared" si="91"/>
        <v/>
      </c>
    </row>
    <row r="135" spans="4:38" x14ac:dyDescent="0.25">
      <c r="D135" s="5" t="str">
        <f>IFERROR(VLOOKUP(E135,'Chemical data ref sheet'!$A$1:$E$163,2,FALSE),"")</f>
        <v/>
      </c>
      <c r="E135" s="16"/>
      <c r="F135" s="5" t="str">
        <f>IFERROR(VLOOKUP(E135,'Chemical data ref sheet'!$A$1:$E$163,3,FALSE),"")</f>
        <v/>
      </c>
      <c r="G135" s="5"/>
      <c r="H135" s="5" t="str">
        <f>IFERROR(VLOOKUP(E135,'Chemical data ref sheet'!$A$1:$E$163,4,FALSE),"")</f>
        <v/>
      </c>
      <c r="I135" s="5" t="str">
        <f>IFERROR(VLOOKUP(E135,'Chemical data ref sheet'!$A$1:$E$163,5,FALSE),"")</f>
        <v/>
      </c>
      <c r="J135" s="7"/>
      <c r="K135" s="7"/>
      <c r="L135" s="290"/>
      <c r="M135" s="7"/>
      <c r="N135" s="7"/>
      <c r="O135" s="7"/>
      <c r="P135" s="133">
        <f>SUMIFS('Product samples'!E:E, 'Product samples'!A:A, B135)</f>
        <v>0</v>
      </c>
      <c r="Q135" s="134">
        <f t="shared" si="76"/>
        <v>0</v>
      </c>
      <c r="R135" s="57" t="str">
        <f t="shared" si="92"/>
        <v/>
      </c>
      <c r="S135" s="135" t="str">
        <f t="shared" si="93"/>
        <v/>
      </c>
      <c r="T135" s="132" t="str">
        <f t="shared" si="77"/>
        <v/>
      </c>
      <c r="U135" s="32" t="str">
        <f t="shared" si="78"/>
        <v/>
      </c>
      <c r="V135" s="135" t="str">
        <f t="shared" si="79"/>
        <v/>
      </c>
      <c r="W135" s="136" t="str">
        <f t="shared" si="80"/>
        <v/>
      </c>
      <c r="X135" s="136" t="str">
        <f t="shared" si="81"/>
        <v/>
      </c>
      <c r="Y135" s="136" t="str">
        <f t="shared" si="94"/>
        <v/>
      </c>
      <c r="Z135" s="136" t="str">
        <f t="shared" si="95"/>
        <v/>
      </c>
      <c r="AA135" s="137" t="str">
        <f t="shared" si="82"/>
        <v/>
      </c>
      <c r="AB135" s="135" t="str">
        <f t="shared" si="83"/>
        <v/>
      </c>
      <c r="AC135" s="135" t="str">
        <f t="shared" si="84"/>
        <v/>
      </c>
      <c r="AD135" s="136" t="str">
        <f t="shared" si="85"/>
        <v/>
      </c>
      <c r="AE135" s="136" t="str">
        <f t="shared" si="86"/>
        <v/>
      </c>
      <c r="AF135" s="136" t="str">
        <f t="shared" si="96"/>
        <v/>
      </c>
      <c r="AG135" s="136" t="str">
        <f t="shared" si="97"/>
        <v/>
      </c>
      <c r="AH135" s="137" t="str">
        <f t="shared" si="87"/>
        <v/>
      </c>
      <c r="AI135" s="135" t="str">
        <f t="shared" si="88"/>
        <v/>
      </c>
      <c r="AJ135" s="135" t="str">
        <f t="shared" si="89"/>
        <v/>
      </c>
      <c r="AK135" s="31" t="str">
        <f t="shared" si="90"/>
        <v/>
      </c>
      <c r="AL135" s="31" t="str">
        <f t="shared" si="91"/>
        <v/>
      </c>
    </row>
    <row r="136" spans="4:38" x14ac:dyDescent="0.25">
      <c r="D136" s="5" t="str">
        <f>IFERROR(VLOOKUP(E136,'Chemical data ref sheet'!$A$1:$E$163,2,FALSE),"")</f>
        <v/>
      </c>
      <c r="E136" s="16"/>
      <c r="F136" s="5" t="str">
        <f>IFERROR(VLOOKUP(E136,'Chemical data ref sheet'!$A$1:$E$163,3,FALSE),"")</f>
        <v/>
      </c>
      <c r="G136" s="5"/>
      <c r="H136" s="5" t="str">
        <f>IFERROR(VLOOKUP(E136,'Chemical data ref sheet'!$A$1:$E$163,4,FALSE),"")</f>
        <v/>
      </c>
      <c r="I136" s="5" t="str">
        <f>IFERROR(VLOOKUP(E136,'Chemical data ref sheet'!$A$1:$E$163,5,FALSE),"")</f>
        <v/>
      </c>
      <c r="J136" s="7"/>
      <c r="K136" s="7"/>
      <c r="L136" s="290"/>
      <c r="M136" s="7"/>
      <c r="N136" s="7"/>
      <c r="O136" s="7"/>
      <c r="P136" s="133">
        <f>SUMIFS('Product samples'!E:E, 'Product samples'!A:A, B136)</f>
        <v>0</v>
      </c>
      <c r="Q136" s="134">
        <f t="shared" si="76"/>
        <v>0</v>
      </c>
      <c r="R136" s="57" t="str">
        <f t="shared" si="92"/>
        <v/>
      </c>
      <c r="S136" s="135" t="str">
        <f t="shared" si="93"/>
        <v/>
      </c>
      <c r="T136" s="132" t="str">
        <f t="shared" si="77"/>
        <v/>
      </c>
      <c r="U136" s="32" t="str">
        <f t="shared" si="78"/>
        <v/>
      </c>
      <c r="V136" s="135" t="str">
        <f t="shared" si="79"/>
        <v/>
      </c>
      <c r="W136" s="136" t="str">
        <f t="shared" si="80"/>
        <v/>
      </c>
      <c r="X136" s="136" t="str">
        <f t="shared" si="81"/>
        <v/>
      </c>
      <c r="Y136" s="136" t="str">
        <f t="shared" si="94"/>
        <v/>
      </c>
      <c r="Z136" s="136" t="str">
        <f t="shared" si="95"/>
        <v/>
      </c>
      <c r="AA136" s="137" t="str">
        <f t="shared" si="82"/>
        <v/>
      </c>
      <c r="AB136" s="135" t="str">
        <f t="shared" si="83"/>
        <v/>
      </c>
      <c r="AC136" s="135" t="str">
        <f t="shared" si="84"/>
        <v/>
      </c>
      <c r="AD136" s="136" t="str">
        <f t="shared" si="85"/>
        <v/>
      </c>
      <c r="AE136" s="136" t="str">
        <f t="shared" si="86"/>
        <v/>
      </c>
      <c r="AF136" s="136" t="str">
        <f t="shared" si="96"/>
        <v/>
      </c>
      <c r="AG136" s="136" t="str">
        <f t="shared" si="97"/>
        <v/>
      </c>
      <c r="AH136" s="137" t="str">
        <f t="shared" si="87"/>
        <v/>
      </c>
      <c r="AI136" s="135" t="str">
        <f t="shared" si="88"/>
        <v/>
      </c>
      <c r="AJ136" s="135" t="str">
        <f t="shared" si="89"/>
        <v/>
      </c>
      <c r="AK136" s="31" t="str">
        <f t="shared" si="90"/>
        <v/>
      </c>
      <c r="AL136" s="31" t="str">
        <f t="shared" si="91"/>
        <v/>
      </c>
    </row>
    <row r="137" spans="4:38" x14ac:dyDescent="0.25">
      <c r="D137" s="5" t="str">
        <f>IFERROR(VLOOKUP(E137,'Chemical data ref sheet'!$A$1:$E$163,2,FALSE),"")</f>
        <v/>
      </c>
      <c r="E137" s="16"/>
      <c r="F137" s="5" t="str">
        <f>IFERROR(VLOOKUP(E137,'Chemical data ref sheet'!$A$1:$E$163,3,FALSE),"")</f>
        <v/>
      </c>
      <c r="G137" s="5"/>
      <c r="H137" s="5" t="str">
        <f>IFERROR(VLOOKUP(E137,'Chemical data ref sheet'!$A$1:$E$163,4,FALSE),"")</f>
        <v/>
      </c>
      <c r="I137" s="5" t="str">
        <f>IFERROR(VLOOKUP(E137,'Chemical data ref sheet'!$A$1:$E$163,5,FALSE),"")</f>
        <v/>
      </c>
      <c r="J137" s="7"/>
      <c r="K137" s="7"/>
      <c r="L137" s="290"/>
      <c r="M137" s="7"/>
      <c r="N137" s="7"/>
      <c r="O137" s="7"/>
      <c r="P137" s="133">
        <f>SUMIFS('Product samples'!E:E, 'Product samples'!A:A, B137)</f>
        <v>0</v>
      </c>
      <c r="Q137" s="134">
        <f t="shared" si="76"/>
        <v>0</v>
      </c>
      <c r="R137" s="57" t="str">
        <f t="shared" si="92"/>
        <v/>
      </c>
      <c r="S137" s="135" t="str">
        <f t="shared" si="93"/>
        <v/>
      </c>
      <c r="T137" s="132" t="str">
        <f t="shared" si="77"/>
        <v/>
      </c>
      <c r="U137" s="32" t="str">
        <f t="shared" si="78"/>
        <v/>
      </c>
      <c r="V137" s="135" t="str">
        <f t="shared" si="79"/>
        <v/>
      </c>
      <c r="W137" s="136" t="str">
        <f t="shared" si="80"/>
        <v/>
      </c>
      <c r="X137" s="136" t="str">
        <f t="shared" si="81"/>
        <v/>
      </c>
      <c r="Y137" s="136" t="str">
        <f t="shared" si="94"/>
        <v/>
      </c>
      <c r="Z137" s="136" t="str">
        <f t="shared" si="95"/>
        <v/>
      </c>
      <c r="AA137" s="137" t="str">
        <f t="shared" si="82"/>
        <v/>
      </c>
      <c r="AB137" s="135" t="str">
        <f t="shared" si="83"/>
        <v/>
      </c>
      <c r="AC137" s="135" t="str">
        <f t="shared" si="84"/>
        <v/>
      </c>
      <c r="AD137" s="136" t="str">
        <f t="shared" si="85"/>
        <v/>
      </c>
      <c r="AE137" s="136" t="str">
        <f t="shared" si="86"/>
        <v/>
      </c>
      <c r="AF137" s="136" t="str">
        <f t="shared" si="96"/>
        <v/>
      </c>
      <c r="AG137" s="136" t="str">
        <f t="shared" si="97"/>
        <v/>
      </c>
      <c r="AH137" s="137" t="str">
        <f t="shared" si="87"/>
        <v/>
      </c>
      <c r="AI137" s="135" t="str">
        <f t="shared" si="88"/>
        <v/>
      </c>
      <c r="AJ137" s="135" t="str">
        <f t="shared" si="89"/>
        <v/>
      </c>
      <c r="AK137" s="31" t="str">
        <f t="shared" si="90"/>
        <v/>
      </c>
      <c r="AL137" s="31" t="str">
        <f t="shared" si="91"/>
        <v/>
      </c>
    </row>
    <row r="138" spans="4:38" x14ac:dyDescent="0.25">
      <c r="D138" s="5" t="str">
        <f>IFERROR(VLOOKUP(E138,'Chemical data ref sheet'!$A$1:$E$163,2,FALSE),"")</f>
        <v/>
      </c>
      <c r="E138" s="16"/>
      <c r="F138" s="5" t="str">
        <f>IFERROR(VLOOKUP(E138,'Chemical data ref sheet'!$A$1:$E$163,3,FALSE),"")</f>
        <v/>
      </c>
      <c r="G138" s="5"/>
      <c r="H138" s="5" t="str">
        <f>IFERROR(VLOOKUP(E138,'Chemical data ref sheet'!$A$1:$E$163,4,FALSE),"")</f>
        <v/>
      </c>
      <c r="I138" s="5" t="str">
        <f>IFERROR(VLOOKUP(E138,'Chemical data ref sheet'!$A$1:$E$163,5,FALSE),"")</f>
        <v/>
      </c>
      <c r="J138" s="7"/>
      <c r="K138" s="7"/>
      <c r="L138" s="290"/>
      <c r="M138" s="7"/>
      <c r="N138" s="7"/>
      <c r="O138" s="7"/>
      <c r="P138" s="133">
        <f>SUMIFS('Product samples'!E:E, 'Product samples'!A:A, B138)</f>
        <v>0</v>
      </c>
      <c r="Q138" s="134">
        <f t="shared" si="76"/>
        <v>0</v>
      </c>
      <c r="R138" s="57" t="str">
        <f t="shared" si="92"/>
        <v/>
      </c>
      <c r="S138" s="135" t="str">
        <f t="shared" si="93"/>
        <v/>
      </c>
      <c r="T138" s="132" t="str">
        <f t="shared" si="77"/>
        <v/>
      </c>
      <c r="U138" s="32" t="str">
        <f t="shared" si="78"/>
        <v/>
      </c>
      <c r="V138" s="135" t="str">
        <f t="shared" si="79"/>
        <v/>
      </c>
      <c r="W138" s="136" t="str">
        <f t="shared" si="80"/>
        <v/>
      </c>
      <c r="X138" s="136" t="str">
        <f t="shared" si="81"/>
        <v/>
      </c>
      <c r="Y138" s="136" t="str">
        <f t="shared" si="94"/>
        <v/>
      </c>
      <c r="Z138" s="136" t="str">
        <f t="shared" si="95"/>
        <v/>
      </c>
      <c r="AA138" s="137" t="str">
        <f t="shared" si="82"/>
        <v/>
      </c>
      <c r="AB138" s="135" t="str">
        <f t="shared" si="83"/>
        <v/>
      </c>
      <c r="AC138" s="135" t="str">
        <f t="shared" si="84"/>
        <v/>
      </c>
      <c r="AD138" s="136" t="str">
        <f t="shared" si="85"/>
        <v/>
      </c>
      <c r="AE138" s="136" t="str">
        <f t="shared" si="86"/>
        <v/>
      </c>
      <c r="AF138" s="136" t="str">
        <f t="shared" si="96"/>
        <v/>
      </c>
      <c r="AG138" s="136" t="str">
        <f t="shared" si="97"/>
        <v/>
      </c>
      <c r="AH138" s="137" t="str">
        <f t="shared" si="87"/>
        <v/>
      </c>
      <c r="AI138" s="135" t="str">
        <f t="shared" si="88"/>
        <v/>
      </c>
      <c r="AJ138" s="135" t="str">
        <f t="shared" si="89"/>
        <v/>
      </c>
      <c r="AK138" s="31" t="str">
        <f t="shared" si="90"/>
        <v/>
      </c>
      <c r="AL138" s="31" t="str">
        <f t="shared" si="91"/>
        <v/>
      </c>
    </row>
    <row r="139" spans="4:38" x14ac:dyDescent="0.25">
      <c r="D139" s="5" t="str">
        <f>IFERROR(VLOOKUP(E139,'Chemical data ref sheet'!$A$1:$E$163,2,FALSE),"")</f>
        <v/>
      </c>
      <c r="E139" s="16"/>
      <c r="F139" s="5" t="str">
        <f>IFERROR(VLOOKUP(E139,'Chemical data ref sheet'!$A$1:$E$163,3,FALSE),"")</f>
        <v/>
      </c>
      <c r="G139" s="5"/>
      <c r="H139" s="5" t="str">
        <f>IFERROR(VLOOKUP(E139,'Chemical data ref sheet'!$A$1:$E$163,4,FALSE),"")</f>
        <v/>
      </c>
      <c r="I139" s="5" t="str">
        <f>IFERROR(VLOOKUP(E139,'Chemical data ref sheet'!$A$1:$E$163,5,FALSE),"")</f>
        <v/>
      </c>
      <c r="J139" s="7"/>
      <c r="K139" s="7"/>
      <c r="L139" s="290"/>
      <c r="M139" s="7"/>
      <c r="N139" s="7"/>
      <c r="O139" s="7"/>
      <c r="P139" s="133">
        <f>SUMIFS('Product samples'!E:E, 'Product samples'!A:A, B139)</f>
        <v>0</v>
      </c>
      <c r="Q139" s="134">
        <f t="shared" si="76"/>
        <v>0</v>
      </c>
      <c r="R139" s="57" t="str">
        <f t="shared" si="92"/>
        <v/>
      </c>
      <c r="S139" s="135" t="str">
        <f t="shared" si="93"/>
        <v/>
      </c>
      <c r="T139" s="132" t="str">
        <f t="shared" si="77"/>
        <v/>
      </c>
      <c r="U139" s="32" t="str">
        <f t="shared" si="78"/>
        <v/>
      </c>
      <c r="V139" s="135" t="str">
        <f t="shared" si="79"/>
        <v/>
      </c>
      <c r="W139" s="136" t="str">
        <f t="shared" si="80"/>
        <v/>
      </c>
      <c r="X139" s="136" t="str">
        <f t="shared" si="81"/>
        <v/>
      </c>
      <c r="Y139" s="136" t="str">
        <f t="shared" si="94"/>
        <v/>
      </c>
      <c r="Z139" s="136" t="str">
        <f t="shared" si="95"/>
        <v/>
      </c>
      <c r="AA139" s="137" t="str">
        <f t="shared" si="82"/>
        <v/>
      </c>
      <c r="AB139" s="135" t="str">
        <f t="shared" si="83"/>
        <v/>
      </c>
      <c r="AC139" s="135" t="str">
        <f t="shared" si="84"/>
        <v/>
      </c>
      <c r="AD139" s="136" t="str">
        <f t="shared" si="85"/>
        <v/>
      </c>
      <c r="AE139" s="136" t="str">
        <f t="shared" si="86"/>
        <v/>
      </c>
      <c r="AF139" s="136" t="str">
        <f t="shared" si="96"/>
        <v/>
      </c>
      <c r="AG139" s="136" t="str">
        <f t="shared" si="97"/>
        <v/>
      </c>
      <c r="AH139" s="137" t="str">
        <f t="shared" si="87"/>
        <v/>
      </c>
      <c r="AI139" s="135" t="str">
        <f t="shared" si="88"/>
        <v/>
      </c>
      <c r="AJ139" s="135" t="str">
        <f t="shared" si="89"/>
        <v/>
      </c>
      <c r="AK139" s="31" t="str">
        <f t="shared" si="90"/>
        <v/>
      </c>
      <c r="AL139" s="31" t="str">
        <f t="shared" si="91"/>
        <v/>
      </c>
    </row>
    <row r="140" spans="4:38" x14ac:dyDescent="0.25">
      <c r="D140" s="5" t="str">
        <f>IFERROR(VLOOKUP(E140,'Chemical data ref sheet'!$A$1:$E$163,2,FALSE),"")</f>
        <v/>
      </c>
      <c r="E140" s="16"/>
      <c r="F140" s="5" t="str">
        <f>IFERROR(VLOOKUP(E140,'Chemical data ref sheet'!$A$1:$E$163,3,FALSE),"")</f>
        <v/>
      </c>
      <c r="G140" s="5"/>
      <c r="H140" s="5" t="str">
        <f>IFERROR(VLOOKUP(E140,'Chemical data ref sheet'!$A$1:$E$163,4,FALSE),"")</f>
        <v/>
      </c>
      <c r="I140" s="5" t="str">
        <f>IFERROR(VLOOKUP(E140,'Chemical data ref sheet'!$A$1:$E$163,5,FALSE),"")</f>
        <v/>
      </c>
      <c r="J140" s="7"/>
      <c r="K140" s="7"/>
      <c r="L140" s="290"/>
      <c r="M140" s="7"/>
      <c r="N140" s="7"/>
      <c r="O140" s="7"/>
      <c r="P140" s="133">
        <f>SUMIFS('Product samples'!E:E, 'Product samples'!A:A, B140)</f>
        <v>0</v>
      </c>
      <c r="Q140" s="134">
        <f t="shared" si="76"/>
        <v>0</v>
      </c>
      <c r="R140" s="57" t="str">
        <f t="shared" si="92"/>
        <v/>
      </c>
      <c r="S140" s="135" t="str">
        <f t="shared" si="93"/>
        <v/>
      </c>
      <c r="T140" s="132" t="str">
        <f t="shared" si="77"/>
        <v/>
      </c>
      <c r="U140" s="32" t="str">
        <f t="shared" si="78"/>
        <v/>
      </c>
      <c r="V140" s="135" t="str">
        <f t="shared" si="79"/>
        <v/>
      </c>
      <c r="W140" s="136" t="str">
        <f t="shared" si="80"/>
        <v/>
      </c>
      <c r="X140" s="136" t="str">
        <f t="shared" si="81"/>
        <v/>
      </c>
      <c r="Y140" s="136" t="str">
        <f t="shared" si="94"/>
        <v/>
      </c>
      <c r="Z140" s="136" t="str">
        <f t="shared" si="95"/>
        <v/>
      </c>
      <c r="AA140" s="137" t="str">
        <f t="shared" si="82"/>
        <v/>
      </c>
      <c r="AB140" s="135" t="str">
        <f t="shared" si="83"/>
        <v/>
      </c>
      <c r="AC140" s="135" t="str">
        <f t="shared" si="84"/>
        <v/>
      </c>
      <c r="AD140" s="136" t="str">
        <f t="shared" si="85"/>
        <v/>
      </c>
      <c r="AE140" s="136" t="str">
        <f t="shared" si="86"/>
        <v/>
      </c>
      <c r="AF140" s="136" t="str">
        <f t="shared" si="96"/>
        <v/>
      </c>
      <c r="AG140" s="136" t="str">
        <f t="shared" si="97"/>
        <v/>
      </c>
      <c r="AH140" s="137" t="str">
        <f t="shared" si="87"/>
        <v/>
      </c>
      <c r="AI140" s="135" t="str">
        <f t="shared" si="88"/>
        <v/>
      </c>
      <c r="AJ140" s="135" t="str">
        <f t="shared" si="89"/>
        <v/>
      </c>
      <c r="AK140" s="31" t="str">
        <f t="shared" si="90"/>
        <v/>
      </c>
      <c r="AL140" s="31" t="str">
        <f t="shared" si="91"/>
        <v/>
      </c>
    </row>
    <row r="141" spans="4:38" x14ac:dyDescent="0.25">
      <c r="D141" s="5" t="str">
        <f>IFERROR(VLOOKUP(E141,'Chemical data ref sheet'!$A$1:$E$163,2,FALSE),"")</f>
        <v/>
      </c>
      <c r="E141" s="16"/>
      <c r="F141" s="5" t="str">
        <f>IFERROR(VLOOKUP(E141,'Chemical data ref sheet'!$A$1:$E$163,3,FALSE),"")</f>
        <v/>
      </c>
      <c r="G141" s="5"/>
      <c r="H141" s="5" t="str">
        <f>IFERROR(VLOOKUP(E141,'Chemical data ref sheet'!$A$1:$E$163,4,FALSE),"")</f>
        <v/>
      </c>
      <c r="I141" s="5" t="str">
        <f>IFERROR(VLOOKUP(E141,'Chemical data ref sheet'!$A$1:$E$163,5,FALSE),"")</f>
        <v/>
      </c>
      <c r="J141" s="7"/>
      <c r="K141" s="7"/>
      <c r="L141" s="290"/>
      <c r="M141" s="7"/>
      <c r="N141" s="7"/>
      <c r="O141" s="7"/>
      <c r="P141" s="133">
        <f>SUMIFS('Product samples'!E:E, 'Product samples'!A:A, B141)</f>
        <v>0</v>
      </c>
      <c r="Q141" s="134">
        <f t="shared" si="76"/>
        <v>0</v>
      </c>
      <c r="R141" s="57" t="str">
        <f t="shared" si="92"/>
        <v/>
      </c>
      <c r="S141" s="135" t="str">
        <f t="shared" si="93"/>
        <v/>
      </c>
      <c r="T141" s="132" t="str">
        <f t="shared" si="77"/>
        <v/>
      </c>
      <c r="U141" s="32" t="str">
        <f t="shared" si="78"/>
        <v/>
      </c>
      <c r="V141" s="135" t="str">
        <f t="shared" si="79"/>
        <v/>
      </c>
      <c r="W141" s="136" t="str">
        <f t="shared" si="80"/>
        <v/>
      </c>
      <c r="X141" s="136" t="str">
        <f t="shared" si="81"/>
        <v/>
      </c>
      <c r="Y141" s="136" t="str">
        <f t="shared" si="94"/>
        <v/>
      </c>
      <c r="Z141" s="136" t="str">
        <f t="shared" si="95"/>
        <v/>
      </c>
      <c r="AA141" s="137" t="str">
        <f t="shared" si="82"/>
        <v/>
      </c>
      <c r="AB141" s="135" t="str">
        <f t="shared" si="83"/>
        <v/>
      </c>
      <c r="AC141" s="135" t="str">
        <f t="shared" si="84"/>
        <v/>
      </c>
      <c r="AD141" s="136" t="str">
        <f t="shared" si="85"/>
        <v/>
      </c>
      <c r="AE141" s="136" t="str">
        <f t="shared" si="86"/>
        <v/>
      </c>
      <c r="AF141" s="136" t="str">
        <f t="shared" si="96"/>
        <v/>
      </c>
      <c r="AG141" s="136" t="str">
        <f t="shared" si="97"/>
        <v/>
      </c>
      <c r="AH141" s="137" t="str">
        <f t="shared" si="87"/>
        <v/>
      </c>
      <c r="AI141" s="135" t="str">
        <f t="shared" si="88"/>
        <v/>
      </c>
      <c r="AJ141" s="135" t="str">
        <f t="shared" si="89"/>
        <v/>
      </c>
      <c r="AK141" s="31" t="str">
        <f t="shared" si="90"/>
        <v/>
      </c>
      <c r="AL141" s="31" t="str">
        <f t="shared" si="91"/>
        <v/>
      </c>
    </row>
    <row r="142" spans="4:38" x14ac:dyDescent="0.25">
      <c r="D142" s="5" t="str">
        <f>IFERROR(VLOOKUP(E142,'Chemical data ref sheet'!$A$1:$E$163,2,FALSE),"")</f>
        <v/>
      </c>
      <c r="E142" s="16"/>
      <c r="F142" s="5" t="str">
        <f>IFERROR(VLOOKUP(E142,'Chemical data ref sheet'!$A$1:$E$163,3,FALSE),"")</f>
        <v/>
      </c>
      <c r="G142" s="5"/>
      <c r="H142" s="5" t="str">
        <f>IFERROR(VLOOKUP(E142,'Chemical data ref sheet'!$A$1:$E$163,4,FALSE),"")</f>
        <v/>
      </c>
      <c r="I142" s="5" t="str">
        <f>IFERROR(VLOOKUP(E142,'Chemical data ref sheet'!$A$1:$E$163,5,FALSE),"")</f>
        <v/>
      </c>
      <c r="J142" s="7"/>
      <c r="K142" s="7"/>
      <c r="L142" s="290"/>
      <c r="M142" s="7"/>
      <c r="N142" s="7"/>
      <c r="O142" s="7"/>
      <c r="P142" s="133">
        <f>SUMIFS('Product samples'!E:E, 'Product samples'!A:A, B142)</f>
        <v>0</v>
      </c>
      <c r="Q142" s="134">
        <f t="shared" si="76"/>
        <v>0</v>
      </c>
      <c r="R142" s="57" t="str">
        <f t="shared" si="92"/>
        <v/>
      </c>
      <c r="S142" s="135" t="str">
        <f t="shared" si="93"/>
        <v/>
      </c>
      <c r="T142" s="132" t="str">
        <f t="shared" si="77"/>
        <v/>
      </c>
      <c r="U142" s="32" t="str">
        <f t="shared" si="78"/>
        <v/>
      </c>
      <c r="V142" s="135" t="str">
        <f t="shared" si="79"/>
        <v/>
      </c>
      <c r="W142" s="136" t="str">
        <f t="shared" si="80"/>
        <v/>
      </c>
      <c r="X142" s="136" t="str">
        <f t="shared" si="81"/>
        <v/>
      </c>
      <c r="Y142" s="136" t="str">
        <f t="shared" si="94"/>
        <v/>
      </c>
      <c r="Z142" s="136" t="str">
        <f t="shared" si="95"/>
        <v/>
      </c>
      <c r="AA142" s="137" t="str">
        <f t="shared" si="82"/>
        <v/>
      </c>
      <c r="AB142" s="135" t="str">
        <f t="shared" si="83"/>
        <v/>
      </c>
      <c r="AC142" s="135" t="str">
        <f t="shared" si="84"/>
        <v/>
      </c>
      <c r="AD142" s="136" t="str">
        <f t="shared" si="85"/>
        <v/>
      </c>
      <c r="AE142" s="136" t="str">
        <f t="shared" si="86"/>
        <v/>
      </c>
      <c r="AF142" s="136" t="str">
        <f t="shared" si="96"/>
        <v/>
      </c>
      <c r="AG142" s="136" t="str">
        <f t="shared" si="97"/>
        <v/>
      </c>
      <c r="AH142" s="137" t="str">
        <f t="shared" si="87"/>
        <v/>
      </c>
      <c r="AI142" s="135" t="str">
        <f t="shared" si="88"/>
        <v/>
      </c>
      <c r="AJ142" s="135" t="str">
        <f t="shared" si="89"/>
        <v/>
      </c>
      <c r="AK142" s="31" t="str">
        <f t="shared" si="90"/>
        <v/>
      </c>
      <c r="AL142" s="31" t="str">
        <f t="shared" si="91"/>
        <v/>
      </c>
    </row>
    <row r="143" spans="4:38" x14ac:dyDescent="0.25">
      <c r="D143" s="5" t="str">
        <f>IFERROR(VLOOKUP(E143,'Chemical data ref sheet'!$A$1:$E$163,2,FALSE),"")</f>
        <v/>
      </c>
      <c r="E143" s="16"/>
      <c r="F143" s="5" t="str">
        <f>IFERROR(VLOOKUP(E143,'Chemical data ref sheet'!$A$1:$E$163,3,FALSE),"")</f>
        <v/>
      </c>
      <c r="G143" s="5"/>
      <c r="H143" s="5" t="str">
        <f>IFERROR(VLOOKUP(E143,'Chemical data ref sheet'!$A$1:$E$163,4,FALSE),"")</f>
        <v/>
      </c>
      <c r="I143" s="5" t="str">
        <f>IFERROR(VLOOKUP(E143,'Chemical data ref sheet'!$A$1:$E$163,5,FALSE),"")</f>
        <v/>
      </c>
      <c r="J143" s="7"/>
      <c r="K143" s="7"/>
      <c r="L143" s="290"/>
      <c r="M143" s="7"/>
      <c r="N143" s="7"/>
      <c r="O143" s="7"/>
      <c r="P143" s="133">
        <f>SUMIFS('Product samples'!E:E, 'Product samples'!A:A, B143)</f>
        <v>0</v>
      </c>
      <c r="Q143" s="134">
        <f t="shared" si="76"/>
        <v>0</v>
      </c>
      <c r="R143" s="57" t="str">
        <f t="shared" si="92"/>
        <v/>
      </c>
      <c r="S143" s="135" t="str">
        <f t="shared" si="93"/>
        <v/>
      </c>
      <c r="T143" s="132" t="str">
        <f t="shared" si="77"/>
        <v/>
      </c>
      <c r="U143" s="32" t="str">
        <f t="shared" si="78"/>
        <v/>
      </c>
      <c r="V143" s="135" t="str">
        <f t="shared" si="79"/>
        <v/>
      </c>
      <c r="W143" s="136" t="str">
        <f t="shared" si="80"/>
        <v/>
      </c>
      <c r="X143" s="136" t="str">
        <f t="shared" si="81"/>
        <v/>
      </c>
      <c r="Y143" s="136" t="str">
        <f t="shared" si="94"/>
        <v/>
      </c>
      <c r="Z143" s="136" t="str">
        <f t="shared" si="95"/>
        <v/>
      </c>
      <c r="AA143" s="137" t="str">
        <f t="shared" si="82"/>
        <v/>
      </c>
      <c r="AB143" s="135" t="str">
        <f t="shared" si="83"/>
        <v/>
      </c>
      <c r="AC143" s="135" t="str">
        <f t="shared" si="84"/>
        <v/>
      </c>
      <c r="AD143" s="136" t="str">
        <f t="shared" si="85"/>
        <v/>
      </c>
      <c r="AE143" s="136" t="str">
        <f t="shared" si="86"/>
        <v/>
      </c>
      <c r="AF143" s="136" t="str">
        <f t="shared" si="96"/>
        <v/>
      </c>
      <c r="AG143" s="136" t="str">
        <f t="shared" si="97"/>
        <v/>
      </c>
      <c r="AH143" s="137" t="str">
        <f t="shared" si="87"/>
        <v/>
      </c>
      <c r="AI143" s="135" t="str">
        <f t="shared" si="88"/>
        <v/>
      </c>
      <c r="AJ143" s="135" t="str">
        <f t="shared" si="89"/>
        <v/>
      </c>
      <c r="AK143" s="31" t="str">
        <f t="shared" si="90"/>
        <v/>
      </c>
      <c r="AL143" s="31" t="str">
        <f t="shared" si="91"/>
        <v/>
      </c>
    </row>
    <row r="144" spans="4:38" x14ac:dyDescent="0.25">
      <c r="D144" s="5" t="str">
        <f>IFERROR(VLOOKUP(E144,'Chemical data ref sheet'!$A$1:$E$163,2,FALSE),"")</f>
        <v/>
      </c>
      <c r="E144" s="16"/>
      <c r="F144" s="5" t="str">
        <f>IFERROR(VLOOKUP(E144,'Chemical data ref sheet'!$A$1:$E$163,3,FALSE),"")</f>
        <v/>
      </c>
      <c r="G144" s="5"/>
      <c r="H144" s="5" t="str">
        <f>IFERROR(VLOOKUP(E144,'Chemical data ref sheet'!$A$1:$E$163,4,FALSE),"")</f>
        <v/>
      </c>
      <c r="I144" s="5" t="str">
        <f>IFERROR(VLOOKUP(E144,'Chemical data ref sheet'!$A$1:$E$163,5,FALSE),"")</f>
        <v/>
      </c>
      <c r="J144" s="7"/>
      <c r="K144" s="7"/>
      <c r="L144" s="290"/>
      <c r="M144" s="7"/>
      <c r="N144" s="7"/>
      <c r="O144" s="7"/>
      <c r="P144" s="133">
        <f>SUMIFS('Product samples'!E:E, 'Product samples'!A:A, B144)</f>
        <v>0</v>
      </c>
      <c r="Q144" s="134">
        <f t="shared" si="76"/>
        <v>0</v>
      </c>
      <c r="R144" s="57" t="str">
        <f t="shared" si="92"/>
        <v/>
      </c>
      <c r="S144" s="135" t="str">
        <f t="shared" si="93"/>
        <v/>
      </c>
      <c r="T144" s="132" t="str">
        <f t="shared" si="77"/>
        <v/>
      </c>
      <c r="U144" s="32" t="str">
        <f t="shared" si="78"/>
        <v/>
      </c>
      <c r="V144" s="135" t="str">
        <f t="shared" si="79"/>
        <v/>
      </c>
      <c r="W144" s="136" t="str">
        <f t="shared" si="80"/>
        <v/>
      </c>
      <c r="X144" s="136" t="str">
        <f t="shared" si="81"/>
        <v/>
      </c>
      <c r="Y144" s="136" t="str">
        <f t="shared" si="94"/>
        <v/>
      </c>
      <c r="Z144" s="136" t="str">
        <f t="shared" si="95"/>
        <v/>
      </c>
      <c r="AA144" s="137" t="str">
        <f t="shared" si="82"/>
        <v/>
      </c>
      <c r="AB144" s="135" t="str">
        <f t="shared" si="83"/>
        <v/>
      </c>
      <c r="AC144" s="135" t="str">
        <f t="shared" si="84"/>
        <v/>
      </c>
      <c r="AD144" s="136" t="str">
        <f t="shared" si="85"/>
        <v/>
      </c>
      <c r="AE144" s="136" t="str">
        <f t="shared" si="86"/>
        <v/>
      </c>
      <c r="AF144" s="136" t="str">
        <f t="shared" si="96"/>
        <v/>
      </c>
      <c r="AG144" s="136" t="str">
        <f t="shared" si="97"/>
        <v/>
      </c>
      <c r="AH144" s="137" t="str">
        <f t="shared" si="87"/>
        <v/>
      </c>
      <c r="AI144" s="135" t="str">
        <f t="shared" si="88"/>
        <v/>
      </c>
      <c r="AJ144" s="135" t="str">
        <f t="shared" si="89"/>
        <v/>
      </c>
      <c r="AK144" s="31" t="str">
        <f t="shared" si="90"/>
        <v/>
      </c>
      <c r="AL144" s="31" t="str">
        <f t="shared" si="91"/>
        <v/>
      </c>
    </row>
    <row r="145" spans="4:38" x14ac:dyDescent="0.25">
      <c r="D145" s="5" t="str">
        <f>IFERROR(VLOOKUP(E145,'Chemical data ref sheet'!$A$1:$E$163,2,FALSE),"")</f>
        <v/>
      </c>
      <c r="E145" s="16"/>
      <c r="F145" s="5" t="str">
        <f>IFERROR(VLOOKUP(E145,'Chemical data ref sheet'!$A$1:$E$163,3,FALSE),"")</f>
        <v/>
      </c>
      <c r="G145" s="5"/>
      <c r="H145" s="5" t="str">
        <f>IFERROR(VLOOKUP(E145,'Chemical data ref sheet'!$A$1:$E$163,4,FALSE),"")</f>
        <v/>
      </c>
      <c r="I145" s="5" t="str">
        <f>IFERROR(VLOOKUP(E145,'Chemical data ref sheet'!$A$1:$E$163,5,FALSE),"")</f>
        <v/>
      </c>
      <c r="J145" s="7"/>
      <c r="K145" s="7"/>
      <c r="L145" s="290"/>
      <c r="M145" s="7"/>
      <c r="N145" s="7"/>
      <c r="O145" s="7"/>
      <c r="P145" s="133">
        <f>SUMIFS('Product samples'!E:E, 'Product samples'!A:A, B145)</f>
        <v>0</v>
      </c>
      <c r="Q145" s="134">
        <f t="shared" si="76"/>
        <v>0</v>
      </c>
      <c r="R145" s="57" t="str">
        <f t="shared" si="92"/>
        <v/>
      </c>
      <c r="S145" s="135" t="str">
        <f t="shared" si="93"/>
        <v/>
      </c>
      <c r="T145" s="132" t="str">
        <f t="shared" si="77"/>
        <v/>
      </c>
      <c r="U145" s="32" t="str">
        <f t="shared" si="78"/>
        <v/>
      </c>
      <c r="V145" s="135" t="str">
        <f t="shared" si="79"/>
        <v/>
      </c>
      <c r="W145" s="136" t="str">
        <f t="shared" si="80"/>
        <v/>
      </c>
      <c r="X145" s="136" t="str">
        <f t="shared" si="81"/>
        <v/>
      </c>
      <c r="Y145" s="136" t="str">
        <f t="shared" si="94"/>
        <v/>
      </c>
      <c r="Z145" s="136" t="str">
        <f t="shared" si="95"/>
        <v/>
      </c>
      <c r="AA145" s="137" t="str">
        <f t="shared" si="82"/>
        <v/>
      </c>
      <c r="AB145" s="135" t="str">
        <f t="shared" si="83"/>
        <v/>
      </c>
      <c r="AC145" s="135" t="str">
        <f t="shared" si="84"/>
        <v/>
      </c>
      <c r="AD145" s="136" t="str">
        <f t="shared" si="85"/>
        <v/>
      </c>
      <c r="AE145" s="136" t="str">
        <f t="shared" si="86"/>
        <v/>
      </c>
      <c r="AF145" s="136" t="str">
        <f t="shared" si="96"/>
        <v/>
      </c>
      <c r="AG145" s="136" t="str">
        <f t="shared" si="97"/>
        <v/>
      </c>
      <c r="AH145" s="137" t="str">
        <f t="shared" si="87"/>
        <v/>
      </c>
      <c r="AI145" s="135" t="str">
        <f t="shared" si="88"/>
        <v/>
      </c>
      <c r="AJ145" s="135" t="str">
        <f t="shared" si="89"/>
        <v/>
      </c>
      <c r="AK145" s="31" t="str">
        <f t="shared" si="90"/>
        <v/>
      </c>
      <c r="AL145" s="31" t="str">
        <f t="shared" si="91"/>
        <v/>
      </c>
    </row>
    <row r="146" spans="4:38" x14ac:dyDescent="0.25">
      <c r="D146" s="5" t="str">
        <f>IFERROR(VLOOKUP(E146,'Chemical data ref sheet'!$A$1:$E$163,2,FALSE),"")</f>
        <v/>
      </c>
      <c r="E146" s="16"/>
      <c r="F146" s="5" t="str">
        <f>IFERROR(VLOOKUP(E146,'Chemical data ref sheet'!$A$1:$E$163,3,FALSE),"")</f>
        <v/>
      </c>
      <c r="G146" s="5"/>
      <c r="H146" s="5" t="str">
        <f>IFERROR(VLOOKUP(E146,'Chemical data ref sheet'!$A$1:$E$163,4,FALSE),"")</f>
        <v/>
      </c>
      <c r="I146" s="5" t="str">
        <f>IFERROR(VLOOKUP(E146,'Chemical data ref sheet'!$A$1:$E$163,5,FALSE),"")</f>
        <v/>
      </c>
      <c r="J146" s="7"/>
      <c r="K146" s="7"/>
      <c r="L146" s="290"/>
      <c r="M146" s="7"/>
      <c r="N146" s="7"/>
      <c r="O146" s="7"/>
      <c r="P146" s="133">
        <f>SUMIFS('Product samples'!E:E, 'Product samples'!A:A, B146)</f>
        <v>0</v>
      </c>
      <c r="Q146" s="134">
        <f t="shared" si="76"/>
        <v>0</v>
      </c>
      <c r="R146" s="57" t="str">
        <f t="shared" si="92"/>
        <v/>
      </c>
      <c r="S146" s="135" t="str">
        <f t="shared" si="93"/>
        <v/>
      </c>
      <c r="T146" s="132" t="str">
        <f t="shared" si="77"/>
        <v/>
      </c>
      <c r="U146" s="32" t="str">
        <f t="shared" si="78"/>
        <v/>
      </c>
      <c r="V146" s="135" t="str">
        <f t="shared" si="79"/>
        <v/>
      </c>
      <c r="W146" s="136" t="str">
        <f t="shared" si="80"/>
        <v/>
      </c>
      <c r="X146" s="136" t="str">
        <f t="shared" si="81"/>
        <v/>
      </c>
      <c r="Y146" s="136" t="str">
        <f t="shared" si="94"/>
        <v/>
      </c>
      <c r="Z146" s="136" t="str">
        <f t="shared" si="95"/>
        <v/>
      </c>
      <c r="AA146" s="137" t="str">
        <f t="shared" si="82"/>
        <v/>
      </c>
      <c r="AB146" s="135" t="str">
        <f t="shared" si="83"/>
        <v/>
      </c>
      <c r="AC146" s="135" t="str">
        <f t="shared" si="84"/>
        <v/>
      </c>
      <c r="AD146" s="136" t="str">
        <f t="shared" si="85"/>
        <v/>
      </c>
      <c r="AE146" s="136" t="str">
        <f t="shared" si="86"/>
        <v/>
      </c>
      <c r="AF146" s="136" t="str">
        <f t="shared" si="96"/>
        <v/>
      </c>
      <c r="AG146" s="136" t="str">
        <f t="shared" si="97"/>
        <v/>
      </c>
      <c r="AH146" s="137" t="str">
        <f t="shared" si="87"/>
        <v/>
      </c>
      <c r="AI146" s="135" t="str">
        <f t="shared" si="88"/>
        <v/>
      </c>
      <c r="AJ146" s="135" t="str">
        <f t="shared" si="89"/>
        <v/>
      </c>
      <c r="AK146" s="31" t="str">
        <f t="shared" si="90"/>
        <v/>
      </c>
      <c r="AL146" s="31" t="str">
        <f t="shared" si="91"/>
        <v/>
      </c>
    </row>
    <row r="147" spans="4:38" x14ac:dyDescent="0.25">
      <c r="D147" s="5" t="str">
        <f>IFERROR(VLOOKUP(E147,'Chemical data ref sheet'!$A$1:$E$163,2,FALSE),"")</f>
        <v/>
      </c>
      <c r="E147" s="16"/>
      <c r="F147" s="5" t="str">
        <f>IFERROR(VLOOKUP(E147,'Chemical data ref sheet'!$A$1:$E$163,3,FALSE),"")</f>
        <v/>
      </c>
      <c r="G147" s="5"/>
      <c r="H147" s="5" t="str">
        <f>IFERROR(VLOOKUP(E147,'Chemical data ref sheet'!$A$1:$E$163,4,FALSE),"")</f>
        <v/>
      </c>
      <c r="I147" s="5" t="str">
        <f>IFERROR(VLOOKUP(E147,'Chemical data ref sheet'!$A$1:$E$163,5,FALSE),"")</f>
        <v/>
      </c>
      <c r="J147" s="7"/>
      <c r="K147" s="7"/>
      <c r="L147" s="290"/>
      <c r="M147" s="7"/>
      <c r="N147" s="7"/>
      <c r="O147" s="7"/>
      <c r="P147" s="133">
        <f>SUMIFS('Product samples'!E:E, 'Product samples'!A:A, B147)</f>
        <v>0</v>
      </c>
      <c r="Q147" s="134">
        <f t="shared" si="76"/>
        <v>0</v>
      </c>
      <c r="R147" s="57" t="str">
        <f t="shared" si="92"/>
        <v/>
      </c>
      <c r="S147" s="135" t="str">
        <f t="shared" si="93"/>
        <v/>
      </c>
      <c r="T147" s="132" t="str">
        <f t="shared" si="77"/>
        <v/>
      </c>
      <c r="U147" s="32" t="str">
        <f t="shared" si="78"/>
        <v/>
      </c>
      <c r="V147" s="135" t="str">
        <f t="shared" si="79"/>
        <v/>
      </c>
      <c r="W147" s="136" t="str">
        <f t="shared" si="80"/>
        <v/>
      </c>
      <c r="X147" s="136" t="str">
        <f t="shared" si="81"/>
        <v/>
      </c>
      <c r="Y147" s="136" t="str">
        <f t="shared" si="94"/>
        <v/>
      </c>
      <c r="Z147" s="136" t="str">
        <f t="shared" si="95"/>
        <v/>
      </c>
      <c r="AA147" s="137" t="str">
        <f t="shared" si="82"/>
        <v/>
      </c>
      <c r="AB147" s="135" t="str">
        <f t="shared" si="83"/>
        <v/>
      </c>
      <c r="AC147" s="135" t="str">
        <f t="shared" si="84"/>
        <v/>
      </c>
      <c r="AD147" s="136" t="str">
        <f t="shared" si="85"/>
        <v/>
      </c>
      <c r="AE147" s="136" t="str">
        <f t="shared" si="86"/>
        <v/>
      </c>
      <c r="AF147" s="136" t="str">
        <f t="shared" si="96"/>
        <v/>
      </c>
      <c r="AG147" s="136" t="str">
        <f t="shared" si="97"/>
        <v/>
      </c>
      <c r="AH147" s="137" t="str">
        <f t="shared" si="87"/>
        <v/>
      </c>
      <c r="AI147" s="135" t="str">
        <f t="shared" si="88"/>
        <v/>
      </c>
      <c r="AJ147" s="135" t="str">
        <f t="shared" si="89"/>
        <v/>
      </c>
      <c r="AK147" s="31" t="str">
        <f t="shared" si="90"/>
        <v/>
      </c>
      <c r="AL147" s="31" t="str">
        <f t="shared" si="91"/>
        <v/>
      </c>
    </row>
    <row r="148" spans="4:38" x14ac:dyDescent="0.25">
      <c r="D148" s="5" t="str">
        <f>IFERROR(VLOOKUP(E148,'Chemical data ref sheet'!$A$1:$E$163,2,FALSE),"")</f>
        <v/>
      </c>
      <c r="E148" s="16"/>
      <c r="F148" s="5" t="str">
        <f>IFERROR(VLOOKUP(E148,'Chemical data ref sheet'!$A$1:$E$163,3,FALSE),"")</f>
        <v/>
      </c>
      <c r="G148" s="5"/>
      <c r="H148" s="5" t="str">
        <f>IFERROR(VLOOKUP(E148,'Chemical data ref sheet'!$A$1:$E$163,4,FALSE),"")</f>
        <v/>
      </c>
      <c r="I148" s="5" t="str">
        <f>IFERROR(VLOOKUP(E148,'Chemical data ref sheet'!$A$1:$E$163,5,FALSE),"")</f>
        <v/>
      </c>
      <c r="J148" s="7"/>
      <c r="K148" s="7"/>
      <c r="L148" s="290"/>
      <c r="M148" s="7"/>
      <c r="N148" s="7"/>
      <c r="O148" s="7"/>
      <c r="P148" s="133">
        <f>SUMIFS('Product samples'!E:E, 'Product samples'!A:A, B148)</f>
        <v>0</v>
      </c>
      <c r="Q148" s="134">
        <f t="shared" si="76"/>
        <v>0</v>
      </c>
      <c r="R148" s="57" t="str">
        <f t="shared" si="92"/>
        <v/>
      </c>
      <c r="S148" s="135" t="str">
        <f t="shared" si="93"/>
        <v/>
      </c>
      <c r="T148" s="132" t="str">
        <f t="shared" si="77"/>
        <v/>
      </c>
      <c r="U148" s="32" t="str">
        <f t="shared" si="78"/>
        <v/>
      </c>
      <c r="V148" s="135" t="str">
        <f t="shared" si="79"/>
        <v/>
      </c>
      <c r="W148" s="136" t="str">
        <f t="shared" si="80"/>
        <v/>
      </c>
      <c r="X148" s="136" t="str">
        <f t="shared" si="81"/>
        <v/>
      </c>
      <c r="Y148" s="136" t="str">
        <f t="shared" si="94"/>
        <v/>
      </c>
      <c r="Z148" s="136" t="str">
        <f t="shared" si="95"/>
        <v/>
      </c>
      <c r="AA148" s="137" t="str">
        <f t="shared" si="82"/>
        <v/>
      </c>
      <c r="AB148" s="135" t="str">
        <f t="shared" si="83"/>
        <v/>
      </c>
      <c r="AC148" s="135" t="str">
        <f t="shared" si="84"/>
        <v/>
      </c>
      <c r="AD148" s="136" t="str">
        <f t="shared" si="85"/>
        <v/>
      </c>
      <c r="AE148" s="136" t="str">
        <f t="shared" si="86"/>
        <v/>
      </c>
      <c r="AF148" s="136" t="str">
        <f t="shared" si="96"/>
        <v/>
      </c>
      <c r="AG148" s="136" t="str">
        <f t="shared" si="97"/>
        <v/>
      </c>
      <c r="AH148" s="137" t="str">
        <f t="shared" si="87"/>
        <v/>
      </c>
      <c r="AI148" s="135" t="str">
        <f t="shared" si="88"/>
        <v/>
      </c>
      <c r="AJ148" s="135" t="str">
        <f t="shared" si="89"/>
        <v/>
      </c>
      <c r="AK148" s="31" t="str">
        <f t="shared" si="90"/>
        <v/>
      </c>
      <c r="AL148" s="31" t="str">
        <f t="shared" si="91"/>
        <v/>
      </c>
    </row>
    <row r="149" spans="4:38" x14ac:dyDescent="0.25">
      <c r="D149" s="5" t="str">
        <f>IFERROR(VLOOKUP(E149,'Chemical data ref sheet'!$A$1:$E$163,2,FALSE),"")</f>
        <v/>
      </c>
      <c r="E149" s="16"/>
      <c r="F149" s="5" t="str">
        <f>IFERROR(VLOOKUP(E149,'Chemical data ref sheet'!$A$1:$E$163,3,FALSE),"")</f>
        <v/>
      </c>
      <c r="G149" s="5"/>
      <c r="H149" s="5" t="str">
        <f>IFERROR(VLOOKUP(E149,'Chemical data ref sheet'!$A$1:$E$163,4,FALSE),"")</f>
        <v/>
      </c>
      <c r="I149" s="5" t="str">
        <f>IFERROR(VLOOKUP(E149,'Chemical data ref sheet'!$A$1:$E$163,5,FALSE),"")</f>
        <v/>
      </c>
      <c r="J149" s="7"/>
      <c r="K149" s="7"/>
      <c r="L149" s="290"/>
      <c r="M149" s="7"/>
      <c r="N149" s="7"/>
      <c r="O149" s="7"/>
      <c r="P149" s="133">
        <f>SUMIFS('Product samples'!E:E, 'Product samples'!A:A, B149)</f>
        <v>0</v>
      </c>
      <c r="Q149" s="134">
        <f t="shared" si="76"/>
        <v>0</v>
      </c>
      <c r="R149" s="57" t="str">
        <f t="shared" si="92"/>
        <v/>
      </c>
      <c r="S149" s="135" t="str">
        <f t="shared" si="93"/>
        <v/>
      </c>
      <c r="T149" s="132" t="str">
        <f t="shared" si="77"/>
        <v/>
      </c>
      <c r="U149" s="32" t="str">
        <f t="shared" si="78"/>
        <v/>
      </c>
      <c r="V149" s="135" t="str">
        <f t="shared" si="79"/>
        <v/>
      </c>
      <c r="W149" s="136" t="str">
        <f t="shared" si="80"/>
        <v/>
      </c>
      <c r="X149" s="136" t="str">
        <f t="shared" si="81"/>
        <v/>
      </c>
      <c r="Y149" s="136" t="str">
        <f t="shared" si="94"/>
        <v/>
      </c>
      <c r="Z149" s="136" t="str">
        <f t="shared" si="95"/>
        <v/>
      </c>
      <c r="AA149" s="137" t="str">
        <f t="shared" si="82"/>
        <v/>
      </c>
      <c r="AB149" s="135" t="str">
        <f t="shared" si="83"/>
        <v/>
      </c>
      <c r="AC149" s="135" t="str">
        <f t="shared" si="84"/>
        <v/>
      </c>
      <c r="AD149" s="136" t="str">
        <f t="shared" si="85"/>
        <v/>
      </c>
      <c r="AE149" s="136" t="str">
        <f t="shared" si="86"/>
        <v/>
      </c>
      <c r="AF149" s="136" t="str">
        <f t="shared" si="96"/>
        <v/>
      </c>
      <c r="AG149" s="136" t="str">
        <f t="shared" si="97"/>
        <v/>
      </c>
      <c r="AH149" s="137" t="str">
        <f t="shared" si="87"/>
        <v/>
      </c>
      <c r="AI149" s="135" t="str">
        <f t="shared" si="88"/>
        <v/>
      </c>
      <c r="AJ149" s="135" t="str">
        <f t="shared" si="89"/>
        <v/>
      </c>
      <c r="AK149" s="31" t="str">
        <f t="shared" si="90"/>
        <v/>
      </c>
      <c r="AL149" s="31" t="str">
        <f t="shared" si="91"/>
        <v/>
      </c>
    </row>
    <row r="150" spans="4:38" x14ac:dyDescent="0.25">
      <c r="D150" s="5" t="str">
        <f>IFERROR(VLOOKUP(E150,'Chemical data ref sheet'!$A$1:$E$163,2,FALSE),"")</f>
        <v/>
      </c>
      <c r="E150" s="16"/>
      <c r="F150" s="5" t="str">
        <f>IFERROR(VLOOKUP(E150,'Chemical data ref sheet'!$A$1:$E$163,3,FALSE),"")</f>
        <v/>
      </c>
      <c r="G150" s="5"/>
      <c r="H150" s="5" t="str">
        <f>IFERROR(VLOOKUP(E150,'Chemical data ref sheet'!$A$1:$E$163,4,FALSE),"")</f>
        <v/>
      </c>
      <c r="I150" s="5" t="str">
        <f>IFERROR(VLOOKUP(E150,'Chemical data ref sheet'!$A$1:$E$163,5,FALSE),"")</f>
        <v/>
      </c>
      <c r="J150" s="7"/>
      <c r="K150" s="7"/>
      <c r="L150" s="290"/>
      <c r="M150" s="7"/>
      <c r="N150" s="7"/>
      <c r="O150" s="7"/>
      <c r="P150" s="133">
        <f>SUMIFS('Product samples'!E:E, 'Product samples'!A:A, B150)</f>
        <v>0</v>
      </c>
      <c r="Q150" s="134">
        <f t="shared" si="76"/>
        <v>0</v>
      </c>
      <c r="R150" s="57" t="str">
        <f t="shared" si="92"/>
        <v/>
      </c>
      <c r="S150" s="135" t="str">
        <f t="shared" si="93"/>
        <v/>
      </c>
      <c r="T150" s="132" t="str">
        <f t="shared" si="77"/>
        <v/>
      </c>
      <c r="U150" s="32" t="str">
        <f t="shared" si="78"/>
        <v/>
      </c>
      <c r="V150" s="135" t="str">
        <f t="shared" si="79"/>
        <v/>
      </c>
      <c r="W150" s="136" t="str">
        <f t="shared" si="80"/>
        <v/>
      </c>
      <c r="X150" s="136" t="str">
        <f t="shared" si="81"/>
        <v/>
      </c>
      <c r="Y150" s="136" t="str">
        <f t="shared" si="94"/>
        <v/>
      </c>
      <c r="Z150" s="136" t="str">
        <f t="shared" si="95"/>
        <v/>
      </c>
      <c r="AA150" s="137" t="str">
        <f t="shared" si="82"/>
        <v/>
      </c>
      <c r="AB150" s="135" t="str">
        <f t="shared" si="83"/>
        <v/>
      </c>
      <c r="AC150" s="135" t="str">
        <f t="shared" si="84"/>
        <v/>
      </c>
      <c r="AD150" s="136" t="str">
        <f t="shared" si="85"/>
        <v/>
      </c>
      <c r="AE150" s="136" t="str">
        <f t="shared" si="86"/>
        <v/>
      </c>
      <c r="AF150" s="136" t="str">
        <f t="shared" si="96"/>
        <v/>
      </c>
      <c r="AG150" s="136" t="str">
        <f t="shared" si="97"/>
        <v/>
      </c>
      <c r="AH150" s="137" t="str">
        <f t="shared" si="87"/>
        <v/>
      </c>
      <c r="AI150" s="135" t="str">
        <f t="shared" si="88"/>
        <v/>
      </c>
      <c r="AJ150" s="135" t="str">
        <f t="shared" si="89"/>
        <v/>
      </c>
      <c r="AK150" s="31" t="str">
        <f t="shared" si="90"/>
        <v/>
      </c>
      <c r="AL150" s="31" t="str">
        <f t="shared" si="91"/>
        <v/>
      </c>
    </row>
    <row r="151" spans="4:38" x14ac:dyDescent="0.25">
      <c r="D151" s="5" t="str">
        <f>IFERROR(VLOOKUP(E151,'Chemical data ref sheet'!$A$1:$E$163,2,FALSE),"")</f>
        <v/>
      </c>
      <c r="E151" s="16"/>
      <c r="F151" s="5" t="str">
        <f>IFERROR(VLOOKUP(E151,'Chemical data ref sheet'!$A$1:$E$163,3,FALSE),"")</f>
        <v/>
      </c>
      <c r="G151" s="5"/>
      <c r="H151" s="5" t="str">
        <f>IFERROR(VLOOKUP(E151,'Chemical data ref sheet'!$A$1:$E$163,4,FALSE),"")</f>
        <v/>
      </c>
      <c r="I151" s="5" t="str">
        <f>IFERROR(VLOOKUP(E151,'Chemical data ref sheet'!$A$1:$E$163,5,FALSE),"")</f>
        <v/>
      </c>
      <c r="J151" s="7"/>
      <c r="K151" s="7"/>
      <c r="L151" s="290"/>
      <c r="M151" s="7"/>
      <c r="N151" s="7"/>
      <c r="O151" s="7"/>
      <c r="P151" s="133">
        <f>SUMIFS('Product samples'!E:E, 'Product samples'!A:A, B151)</f>
        <v>0</v>
      </c>
      <c r="Q151" s="134">
        <f t="shared" si="76"/>
        <v>0</v>
      </c>
      <c r="R151" s="57" t="str">
        <f t="shared" si="92"/>
        <v/>
      </c>
      <c r="S151" s="135" t="str">
        <f t="shared" si="93"/>
        <v/>
      </c>
      <c r="T151" s="132" t="str">
        <f t="shared" si="77"/>
        <v/>
      </c>
      <c r="U151" s="32" t="str">
        <f t="shared" si="78"/>
        <v/>
      </c>
      <c r="V151" s="135" t="str">
        <f t="shared" si="79"/>
        <v/>
      </c>
      <c r="W151" s="136" t="str">
        <f t="shared" si="80"/>
        <v/>
      </c>
      <c r="X151" s="136" t="str">
        <f t="shared" si="81"/>
        <v/>
      </c>
      <c r="Y151" s="136" t="str">
        <f t="shared" si="94"/>
        <v/>
      </c>
      <c r="Z151" s="136" t="str">
        <f t="shared" si="95"/>
        <v/>
      </c>
      <c r="AA151" s="137" t="str">
        <f t="shared" si="82"/>
        <v/>
      </c>
      <c r="AB151" s="135" t="str">
        <f t="shared" si="83"/>
        <v/>
      </c>
      <c r="AC151" s="135" t="str">
        <f t="shared" si="84"/>
        <v/>
      </c>
      <c r="AD151" s="136" t="str">
        <f t="shared" si="85"/>
        <v/>
      </c>
      <c r="AE151" s="136" t="str">
        <f t="shared" si="86"/>
        <v/>
      </c>
      <c r="AF151" s="136" t="str">
        <f t="shared" si="96"/>
        <v/>
      </c>
      <c r="AG151" s="136" t="str">
        <f t="shared" si="97"/>
        <v/>
      </c>
      <c r="AH151" s="137" t="str">
        <f t="shared" si="87"/>
        <v/>
      </c>
      <c r="AI151" s="135" t="str">
        <f t="shared" si="88"/>
        <v/>
      </c>
      <c r="AJ151" s="135" t="str">
        <f t="shared" si="89"/>
        <v/>
      </c>
      <c r="AK151" s="31" t="str">
        <f t="shared" si="90"/>
        <v/>
      </c>
      <c r="AL151" s="31" t="str">
        <f t="shared" si="91"/>
        <v/>
      </c>
    </row>
    <row r="152" spans="4:38" x14ac:dyDescent="0.25">
      <c r="D152" s="5" t="str">
        <f>IFERROR(VLOOKUP(E152,'Chemical data ref sheet'!$A$1:$E$163,2,FALSE),"")</f>
        <v/>
      </c>
      <c r="E152" s="16"/>
      <c r="F152" s="5" t="str">
        <f>IFERROR(VLOOKUP(E152,'Chemical data ref sheet'!$A$1:$E$163,3,FALSE),"")</f>
        <v/>
      </c>
      <c r="G152" s="5"/>
      <c r="H152" s="5" t="str">
        <f>IFERROR(VLOOKUP(E152,'Chemical data ref sheet'!$A$1:$E$163,4,FALSE),"")</f>
        <v/>
      </c>
      <c r="I152" s="5" t="str">
        <f>IFERROR(VLOOKUP(E152,'Chemical data ref sheet'!$A$1:$E$163,5,FALSE),"")</f>
        <v/>
      </c>
      <c r="J152" s="7"/>
      <c r="K152" s="7"/>
      <c r="L152" s="290"/>
      <c r="M152" s="7"/>
      <c r="N152" s="7"/>
      <c r="O152" s="7"/>
      <c r="P152" s="133">
        <f>SUMIFS('Product samples'!E:E, 'Product samples'!A:A, B152)</f>
        <v>0</v>
      </c>
      <c r="Q152" s="134">
        <f t="shared" si="76"/>
        <v>0</v>
      </c>
      <c r="R152" s="57" t="str">
        <f t="shared" si="92"/>
        <v/>
      </c>
      <c r="S152" s="135" t="str">
        <f t="shared" si="93"/>
        <v/>
      </c>
      <c r="T152" s="132" t="str">
        <f t="shared" si="77"/>
        <v/>
      </c>
      <c r="U152" s="32" t="str">
        <f t="shared" si="78"/>
        <v/>
      </c>
      <c r="V152" s="135" t="str">
        <f t="shared" si="79"/>
        <v/>
      </c>
      <c r="W152" s="136" t="str">
        <f t="shared" si="80"/>
        <v/>
      </c>
      <c r="X152" s="136" t="str">
        <f t="shared" si="81"/>
        <v/>
      </c>
      <c r="Y152" s="136" t="str">
        <f t="shared" si="94"/>
        <v/>
      </c>
      <c r="Z152" s="136" t="str">
        <f t="shared" si="95"/>
        <v/>
      </c>
      <c r="AA152" s="137" t="str">
        <f t="shared" si="82"/>
        <v/>
      </c>
      <c r="AB152" s="135" t="str">
        <f t="shared" si="83"/>
        <v/>
      </c>
      <c r="AC152" s="135" t="str">
        <f t="shared" si="84"/>
        <v/>
      </c>
      <c r="AD152" s="136" t="str">
        <f t="shared" si="85"/>
        <v/>
      </c>
      <c r="AE152" s="136" t="str">
        <f t="shared" si="86"/>
        <v/>
      </c>
      <c r="AF152" s="136" t="str">
        <f t="shared" si="96"/>
        <v/>
      </c>
      <c r="AG152" s="136" t="str">
        <f t="shared" si="97"/>
        <v/>
      </c>
      <c r="AH152" s="137" t="str">
        <f t="shared" si="87"/>
        <v/>
      </c>
      <c r="AI152" s="135" t="str">
        <f t="shared" si="88"/>
        <v/>
      </c>
      <c r="AJ152" s="135" t="str">
        <f t="shared" si="89"/>
        <v/>
      </c>
      <c r="AK152" s="31" t="str">
        <f t="shared" si="90"/>
        <v/>
      </c>
      <c r="AL152" s="31" t="str">
        <f t="shared" si="91"/>
        <v/>
      </c>
    </row>
    <row r="153" spans="4:38" x14ac:dyDescent="0.25">
      <c r="D153" s="5" t="str">
        <f>IFERROR(VLOOKUP(E153,'Chemical data ref sheet'!$A$1:$E$163,2,FALSE),"")</f>
        <v/>
      </c>
      <c r="E153" s="16"/>
      <c r="F153" s="5" t="str">
        <f>IFERROR(VLOOKUP(E153,'Chemical data ref sheet'!$A$1:$E$163,3,FALSE),"")</f>
        <v/>
      </c>
      <c r="G153" s="5"/>
      <c r="H153" s="5" t="str">
        <f>IFERROR(VLOOKUP(E153,'Chemical data ref sheet'!$A$1:$E$163,4,FALSE),"")</f>
        <v/>
      </c>
      <c r="I153" s="5" t="str">
        <f>IFERROR(VLOOKUP(E153,'Chemical data ref sheet'!$A$1:$E$163,5,FALSE),"")</f>
        <v/>
      </c>
      <c r="J153" s="7"/>
      <c r="K153" s="7"/>
      <c r="L153" s="290"/>
      <c r="M153" s="7"/>
      <c r="N153" s="7"/>
      <c r="O153" s="7"/>
      <c r="P153" s="133">
        <f>SUMIFS('Product samples'!E:E, 'Product samples'!A:A, B153)</f>
        <v>0</v>
      </c>
      <c r="Q153" s="134">
        <f t="shared" si="76"/>
        <v>0</v>
      </c>
      <c r="R153" s="57" t="str">
        <f t="shared" si="92"/>
        <v/>
      </c>
      <c r="S153" s="135" t="str">
        <f t="shared" si="93"/>
        <v/>
      </c>
      <c r="T153" s="132" t="str">
        <f t="shared" si="77"/>
        <v/>
      </c>
      <c r="U153" s="32" t="str">
        <f t="shared" si="78"/>
        <v/>
      </c>
      <c r="V153" s="135" t="str">
        <f t="shared" si="79"/>
        <v/>
      </c>
      <c r="W153" s="136" t="str">
        <f t="shared" si="80"/>
        <v/>
      </c>
      <c r="X153" s="136" t="str">
        <f t="shared" si="81"/>
        <v/>
      </c>
      <c r="Y153" s="136" t="str">
        <f t="shared" si="94"/>
        <v/>
      </c>
      <c r="Z153" s="136" t="str">
        <f t="shared" si="95"/>
        <v/>
      </c>
      <c r="AA153" s="137" t="str">
        <f t="shared" si="82"/>
        <v/>
      </c>
      <c r="AB153" s="135" t="str">
        <f t="shared" si="83"/>
        <v/>
      </c>
      <c r="AC153" s="135" t="str">
        <f t="shared" si="84"/>
        <v/>
      </c>
      <c r="AD153" s="136" t="str">
        <f t="shared" si="85"/>
        <v/>
      </c>
      <c r="AE153" s="136" t="str">
        <f t="shared" si="86"/>
        <v/>
      </c>
      <c r="AF153" s="136" t="str">
        <f t="shared" si="96"/>
        <v/>
      </c>
      <c r="AG153" s="136" t="str">
        <f t="shared" si="97"/>
        <v/>
      </c>
      <c r="AH153" s="137" t="str">
        <f t="shared" si="87"/>
        <v/>
      </c>
      <c r="AI153" s="135" t="str">
        <f t="shared" si="88"/>
        <v/>
      </c>
      <c r="AJ153" s="135" t="str">
        <f t="shared" si="89"/>
        <v/>
      </c>
      <c r="AK153" s="31" t="str">
        <f t="shared" si="90"/>
        <v/>
      </c>
      <c r="AL153" s="31" t="str">
        <f t="shared" si="91"/>
        <v/>
      </c>
    </row>
    <row r="154" spans="4:38" x14ac:dyDescent="0.25">
      <c r="D154" s="5" t="str">
        <f>IFERROR(VLOOKUP(E154,'Chemical data ref sheet'!$A$1:$E$163,2,FALSE),"")</f>
        <v/>
      </c>
      <c r="E154" s="16"/>
      <c r="F154" s="5" t="str">
        <f>IFERROR(VLOOKUP(E154,'Chemical data ref sheet'!$A$1:$E$163,3,FALSE),"")</f>
        <v/>
      </c>
      <c r="G154" s="5"/>
      <c r="H154" s="5" t="str">
        <f>IFERROR(VLOOKUP(E154,'Chemical data ref sheet'!$A$1:$E$163,4,FALSE),"")</f>
        <v/>
      </c>
      <c r="I154" s="5" t="str">
        <f>IFERROR(VLOOKUP(E154,'Chemical data ref sheet'!$A$1:$E$163,5,FALSE),"")</f>
        <v/>
      </c>
      <c r="J154" s="7"/>
      <c r="K154" s="7"/>
      <c r="L154" s="290"/>
      <c r="M154" s="7"/>
      <c r="N154" s="7"/>
      <c r="O154" s="7"/>
      <c r="P154" s="133">
        <f>SUMIFS('Product samples'!E:E, 'Product samples'!A:A, B154)</f>
        <v>0</v>
      </c>
      <c r="Q154" s="134">
        <f t="shared" si="76"/>
        <v>0</v>
      </c>
      <c r="R154" s="57" t="str">
        <f t="shared" si="92"/>
        <v/>
      </c>
      <c r="S154" s="135" t="str">
        <f t="shared" si="93"/>
        <v/>
      </c>
      <c r="T154" s="132" t="str">
        <f t="shared" si="77"/>
        <v/>
      </c>
      <c r="U154" s="32" t="str">
        <f t="shared" si="78"/>
        <v/>
      </c>
      <c r="V154" s="135" t="str">
        <f t="shared" si="79"/>
        <v/>
      </c>
      <c r="W154" s="136" t="str">
        <f t="shared" si="80"/>
        <v/>
      </c>
      <c r="X154" s="136" t="str">
        <f t="shared" si="81"/>
        <v/>
      </c>
      <c r="Y154" s="136" t="str">
        <f t="shared" si="94"/>
        <v/>
      </c>
      <c r="Z154" s="136" t="str">
        <f t="shared" si="95"/>
        <v/>
      </c>
      <c r="AA154" s="137" t="str">
        <f t="shared" si="82"/>
        <v/>
      </c>
      <c r="AB154" s="135" t="str">
        <f t="shared" si="83"/>
        <v/>
      </c>
      <c r="AC154" s="135" t="str">
        <f t="shared" si="84"/>
        <v/>
      </c>
      <c r="AD154" s="136" t="str">
        <f t="shared" si="85"/>
        <v/>
      </c>
      <c r="AE154" s="136" t="str">
        <f t="shared" si="86"/>
        <v/>
      </c>
      <c r="AF154" s="136" t="str">
        <f t="shared" si="96"/>
        <v/>
      </c>
      <c r="AG154" s="136" t="str">
        <f t="shared" si="97"/>
        <v/>
      </c>
      <c r="AH154" s="137" t="str">
        <f t="shared" si="87"/>
        <v/>
      </c>
      <c r="AI154" s="135" t="str">
        <f t="shared" si="88"/>
        <v/>
      </c>
      <c r="AJ154" s="135" t="str">
        <f t="shared" si="89"/>
        <v/>
      </c>
      <c r="AK154" s="31" t="str">
        <f t="shared" si="90"/>
        <v/>
      </c>
      <c r="AL154" s="31" t="str">
        <f t="shared" si="91"/>
        <v/>
      </c>
    </row>
    <row r="155" spans="4:38" x14ac:dyDescent="0.25">
      <c r="D155" s="5" t="str">
        <f>IFERROR(VLOOKUP(E155,'Chemical data ref sheet'!$A$1:$E$163,2,FALSE),"")</f>
        <v/>
      </c>
      <c r="E155" s="16"/>
      <c r="F155" s="5" t="str">
        <f>IFERROR(VLOOKUP(E155,'Chemical data ref sheet'!$A$1:$E$163,3,FALSE),"")</f>
        <v/>
      </c>
      <c r="G155" s="5"/>
      <c r="H155" s="5" t="str">
        <f>IFERROR(VLOOKUP(E155,'Chemical data ref sheet'!$A$1:$E$163,4,FALSE),"")</f>
        <v/>
      </c>
      <c r="I155" s="5" t="str">
        <f>IFERROR(VLOOKUP(E155,'Chemical data ref sheet'!$A$1:$E$163,5,FALSE),"")</f>
        <v/>
      </c>
      <c r="J155" s="7"/>
      <c r="K155" s="7"/>
      <c r="L155" s="290"/>
      <c r="M155" s="7"/>
      <c r="N155" s="7"/>
      <c r="O155" s="7"/>
      <c r="P155" s="133">
        <f>SUMIFS('Product samples'!E:E, 'Product samples'!A:A, B155)</f>
        <v>0</v>
      </c>
      <c r="Q155" s="134">
        <f t="shared" si="76"/>
        <v>0</v>
      </c>
      <c r="R155" s="57" t="str">
        <f t="shared" si="92"/>
        <v/>
      </c>
      <c r="S155" s="135" t="str">
        <f t="shared" si="93"/>
        <v/>
      </c>
      <c r="T155" s="132" t="str">
        <f t="shared" si="77"/>
        <v/>
      </c>
      <c r="U155" s="32" t="str">
        <f t="shared" si="78"/>
        <v/>
      </c>
      <c r="V155" s="135" t="str">
        <f t="shared" si="79"/>
        <v/>
      </c>
      <c r="W155" s="136" t="str">
        <f t="shared" si="80"/>
        <v/>
      </c>
      <c r="X155" s="136" t="str">
        <f t="shared" si="81"/>
        <v/>
      </c>
      <c r="Y155" s="136" t="str">
        <f t="shared" si="94"/>
        <v/>
      </c>
      <c r="Z155" s="136" t="str">
        <f t="shared" si="95"/>
        <v/>
      </c>
      <c r="AA155" s="137" t="str">
        <f t="shared" si="82"/>
        <v/>
      </c>
      <c r="AB155" s="135" t="str">
        <f t="shared" si="83"/>
        <v/>
      </c>
      <c r="AC155" s="135" t="str">
        <f t="shared" si="84"/>
        <v/>
      </c>
      <c r="AD155" s="136" t="str">
        <f t="shared" si="85"/>
        <v/>
      </c>
      <c r="AE155" s="136" t="str">
        <f t="shared" si="86"/>
        <v/>
      </c>
      <c r="AF155" s="136" t="str">
        <f t="shared" si="96"/>
        <v/>
      </c>
      <c r="AG155" s="136" t="str">
        <f t="shared" si="97"/>
        <v/>
      </c>
      <c r="AH155" s="137" t="str">
        <f t="shared" si="87"/>
        <v/>
      </c>
      <c r="AI155" s="135" t="str">
        <f t="shared" si="88"/>
        <v/>
      </c>
      <c r="AJ155" s="135" t="str">
        <f t="shared" si="89"/>
        <v/>
      </c>
      <c r="AK155" s="31" t="str">
        <f t="shared" si="90"/>
        <v/>
      </c>
      <c r="AL155" s="31" t="str">
        <f t="shared" si="91"/>
        <v/>
      </c>
    </row>
    <row r="156" spans="4:38" x14ac:dyDescent="0.25">
      <c r="D156" s="5" t="str">
        <f>IFERROR(VLOOKUP(E156,'Chemical data ref sheet'!$A$1:$E$163,2,FALSE),"")</f>
        <v/>
      </c>
      <c r="E156" s="16"/>
      <c r="F156" s="5" t="str">
        <f>IFERROR(VLOOKUP(E156,'Chemical data ref sheet'!$A$1:$E$163,3,FALSE),"")</f>
        <v/>
      </c>
      <c r="G156" s="5"/>
      <c r="H156" s="5" t="str">
        <f>IFERROR(VLOOKUP(E156,'Chemical data ref sheet'!$A$1:$E$163,4,FALSE),"")</f>
        <v/>
      </c>
      <c r="I156" s="5" t="str">
        <f>IFERROR(VLOOKUP(E156,'Chemical data ref sheet'!$A$1:$E$163,5,FALSE),"")</f>
        <v/>
      </c>
      <c r="J156" s="7"/>
      <c r="K156" s="7"/>
      <c r="L156" s="290"/>
      <c r="M156" s="7"/>
      <c r="N156" s="7"/>
      <c r="O156" s="7"/>
      <c r="P156" s="133">
        <f>SUMIFS('Product samples'!E:E, 'Product samples'!A:A, B156)</f>
        <v>0</v>
      </c>
      <c r="Q156" s="134">
        <f t="shared" si="76"/>
        <v>0</v>
      </c>
      <c r="R156" s="57" t="str">
        <f t="shared" si="92"/>
        <v/>
      </c>
      <c r="S156" s="135" t="str">
        <f t="shared" si="93"/>
        <v/>
      </c>
      <c r="T156" s="132" t="str">
        <f t="shared" si="77"/>
        <v/>
      </c>
      <c r="U156" s="32" t="str">
        <f t="shared" si="78"/>
        <v/>
      </c>
      <c r="V156" s="135" t="str">
        <f t="shared" si="79"/>
        <v/>
      </c>
      <c r="W156" s="136" t="str">
        <f t="shared" si="80"/>
        <v/>
      </c>
      <c r="X156" s="136" t="str">
        <f t="shared" si="81"/>
        <v/>
      </c>
      <c r="Y156" s="136" t="str">
        <f t="shared" si="94"/>
        <v/>
      </c>
      <c r="Z156" s="136" t="str">
        <f t="shared" si="95"/>
        <v/>
      </c>
      <c r="AA156" s="137" t="str">
        <f t="shared" si="82"/>
        <v/>
      </c>
      <c r="AB156" s="135" t="str">
        <f t="shared" si="83"/>
        <v/>
      </c>
      <c r="AC156" s="135" t="str">
        <f t="shared" si="84"/>
        <v/>
      </c>
      <c r="AD156" s="136" t="str">
        <f t="shared" si="85"/>
        <v/>
      </c>
      <c r="AE156" s="136" t="str">
        <f t="shared" si="86"/>
        <v/>
      </c>
      <c r="AF156" s="136" t="str">
        <f t="shared" si="96"/>
        <v/>
      </c>
      <c r="AG156" s="136" t="str">
        <f t="shared" si="97"/>
        <v/>
      </c>
      <c r="AH156" s="137" t="str">
        <f t="shared" si="87"/>
        <v/>
      </c>
      <c r="AI156" s="135" t="str">
        <f t="shared" si="88"/>
        <v/>
      </c>
      <c r="AJ156" s="135" t="str">
        <f t="shared" si="89"/>
        <v/>
      </c>
      <c r="AK156" s="31" t="str">
        <f t="shared" si="90"/>
        <v/>
      </c>
      <c r="AL156" s="31" t="str">
        <f t="shared" si="91"/>
        <v/>
      </c>
    </row>
    <row r="157" spans="4:38" x14ac:dyDescent="0.25">
      <c r="D157" s="5" t="str">
        <f>IFERROR(VLOOKUP(E157,'Chemical data ref sheet'!$A$1:$E$163,2,FALSE),"")</f>
        <v/>
      </c>
      <c r="E157" s="16"/>
      <c r="F157" s="5" t="str">
        <f>IFERROR(VLOOKUP(E157,'Chemical data ref sheet'!$A$1:$E$163,3,FALSE),"")</f>
        <v/>
      </c>
      <c r="G157" s="5"/>
      <c r="H157" s="5" t="str">
        <f>IFERROR(VLOOKUP(E157,'Chemical data ref sheet'!$A$1:$E$163,4,FALSE),"")</f>
        <v/>
      </c>
      <c r="I157" s="5" t="str">
        <f>IFERROR(VLOOKUP(E157,'Chemical data ref sheet'!$A$1:$E$163,5,FALSE),"")</f>
        <v/>
      </c>
      <c r="J157" s="7"/>
      <c r="K157" s="7"/>
      <c r="L157" s="290"/>
      <c r="M157" s="7"/>
      <c r="N157" s="7"/>
      <c r="O157" s="7"/>
      <c r="P157" s="133">
        <f>SUMIFS('Product samples'!E:E, 'Product samples'!A:A, B157)</f>
        <v>0</v>
      </c>
      <c r="Q157" s="134">
        <f t="shared" si="76"/>
        <v>0</v>
      </c>
      <c r="R157" s="57" t="str">
        <f t="shared" si="92"/>
        <v/>
      </c>
      <c r="S157" s="135" t="str">
        <f t="shared" si="93"/>
        <v/>
      </c>
      <c r="T157" s="132" t="str">
        <f t="shared" si="77"/>
        <v/>
      </c>
      <c r="U157" s="32" t="str">
        <f t="shared" si="78"/>
        <v/>
      </c>
      <c r="V157" s="135" t="str">
        <f t="shared" si="79"/>
        <v/>
      </c>
      <c r="W157" s="136" t="str">
        <f t="shared" si="80"/>
        <v/>
      </c>
      <c r="X157" s="136" t="str">
        <f t="shared" si="81"/>
        <v/>
      </c>
      <c r="Y157" s="136" t="str">
        <f t="shared" si="94"/>
        <v/>
      </c>
      <c r="Z157" s="136" t="str">
        <f t="shared" si="95"/>
        <v/>
      </c>
      <c r="AA157" s="137" t="str">
        <f t="shared" si="82"/>
        <v/>
      </c>
      <c r="AB157" s="135" t="str">
        <f t="shared" si="83"/>
        <v/>
      </c>
      <c r="AC157" s="135" t="str">
        <f t="shared" si="84"/>
        <v/>
      </c>
      <c r="AD157" s="136" t="str">
        <f t="shared" si="85"/>
        <v/>
      </c>
      <c r="AE157" s="136" t="str">
        <f t="shared" si="86"/>
        <v/>
      </c>
      <c r="AF157" s="136" t="str">
        <f t="shared" si="96"/>
        <v/>
      </c>
      <c r="AG157" s="136" t="str">
        <f t="shared" si="97"/>
        <v/>
      </c>
      <c r="AH157" s="137" t="str">
        <f t="shared" si="87"/>
        <v/>
      </c>
      <c r="AI157" s="135" t="str">
        <f t="shared" si="88"/>
        <v/>
      </c>
      <c r="AJ157" s="135" t="str">
        <f t="shared" si="89"/>
        <v/>
      </c>
      <c r="AK157" s="31" t="str">
        <f t="shared" si="90"/>
        <v/>
      </c>
      <c r="AL157" s="31" t="str">
        <f t="shared" si="91"/>
        <v/>
      </c>
    </row>
    <row r="158" spans="4:38" x14ac:dyDescent="0.25">
      <c r="D158" s="5" t="str">
        <f>IFERROR(VLOOKUP(E158,'Chemical data ref sheet'!$A$1:$E$163,2,FALSE),"")</f>
        <v/>
      </c>
      <c r="E158" s="16"/>
      <c r="F158" s="5" t="str">
        <f>IFERROR(VLOOKUP(E158,'Chemical data ref sheet'!$A$1:$E$163,3,FALSE),"")</f>
        <v/>
      </c>
      <c r="G158" s="5"/>
      <c r="H158" s="5" t="str">
        <f>IFERROR(VLOOKUP(E158,'Chemical data ref sheet'!$A$1:$E$163,4,FALSE),"")</f>
        <v/>
      </c>
      <c r="I158" s="5" t="str">
        <f>IFERROR(VLOOKUP(E158,'Chemical data ref sheet'!$A$1:$E$163,5,FALSE),"")</f>
        <v/>
      </c>
      <c r="J158" s="7"/>
      <c r="K158" s="7"/>
      <c r="L158" s="290"/>
      <c r="M158" s="7"/>
      <c r="N158" s="7"/>
      <c r="O158" s="7"/>
      <c r="P158" s="133">
        <f>SUMIFS('Product samples'!E:E, 'Product samples'!A:A, B158)</f>
        <v>0</v>
      </c>
      <c r="Q158" s="134">
        <f t="shared" si="76"/>
        <v>0</v>
      </c>
      <c r="R158" s="57" t="str">
        <f t="shared" si="92"/>
        <v/>
      </c>
      <c r="S158" s="135" t="str">
        <f t="shared" si="93"/>
        <v/>
      </c>
      <c r="T158" s="132" t="str">
        <f t="shared" si="77"/>
        <v/>
      </c>
      <c r="U158" s="32" t="str">
        <f t="shared" si="78"/>
        <v/>
      </c>
      <c r="V158" s="135" t="str">
        <f t="shared" si="79"/>
        <v/>
      </c>
      <c r="W158" s="136" t="str">
        <f t="shared" si="80"/>
        <v/>
      </c>
      <c r="X158" s="136" t="str">
        <f t="shared" si="81"/>
        <v/>
      </c>
      <c r="Y158" s="136" t="str">
        <f t="shared" si="94"/>
        <v/>
      </c>
      <c r="Z158" s="136" t="str">
        <f t="shared" si="95"/>
        <v/>
      </c>
      <c r="AA158" s="137" t="str">
        <f t="shared" si="82"/>
        <v/>
      </c>
      <c r="AB158" s="135" t="str">
        <f t="shared" si="83"/>
        <v/>
      </c>
      <c r="AC158" s="135" t="str">
        <f t="shared" si="84"/>
        <v/>
      </c>
      <c r="AD158" s="136" t="str">
        <f t="shared" si="85"/>
        <v/>
      </c>
      <c r="AE158" s="136" t="str">
        <f t="shared" si="86"/>
        <v/>
      </c>
      <c r="AF158" s="136" t="str">
        <f t="shared" si="96"/>
        <v/>
      </c>
      <c r="AG158" s="136" t="str">
        <f t="shared" si="97"/>
        <v/>
      </c>
      <c r="AH158" s="137" t="str">
        <f t="shared" si="87"/>
        <v/>
      </c>
      <c r="AI158" s="135" t="str">
        <f t="shared" si="88"/>
        <v/>
      </c>
      <c r="AJ158" s="135" t="str">
        <f t="shared" si="89"/>
        <v/>
      </c>
      <c r="AK158" s="31" t="str">
        <f t="shared" si="90"/>
        <v/>
      </c>
      <c r="AL158" s="31" t="str">
        <f t="shared" si="91"/>
        <v/>
      </c>
    </row>
    <row r="159" spans="4:38" x14ac:dyDescent="0.25">
      <c r="D159" s="5" t="str">
        <f>IFERROR(VLOOKUP(E159,'Chemical data ref sheet'!$A$1:$E$163,2,FALSE),"")</f>
        <v/>
      </c>
      <c r="E159" s="16"/>
      <c r="F159" s="5" t="str">
        <f>IFERROR(VLOOKUP(E159,'Chemical data ref sheet'!$A$1:$E$163,3,FALSE),"")</f>
        <v/>
      </c>
      <c r="G159" s="5"/>
      <c r="H159" s="5" t="str">
        <f>IFERROR(VLOOKUP(E159,'Chemical data ref sheet'!$A$1:$E$163,4,FALSE),"")</f>
        <v/>
      </c>
      <c r="I159" s="5" t="str">
        <f>IFERROR(VLOOKUP(E159,'Chemical data ref sheet'!$A$1:$E$163,5,FALSE),"")</f>
        <v/>
      </c>
      <c r="J159" s="7"/>
      <c r="K159" s="7"/>
      <c r="L159" s="290"/>
      <c r="M159" s="7"/>
      <c r="N159" s="7"/>
      <c r="O159" s="7"/>
      <c r="P159" s="133">
        <f>SUMIFS('Product samples'!E:E, 'Product samples'!A:A, B159)</f>
        <v>0</v>
      </c>
      <c r="Q159" s="134">
        <f t="shared" si="76"/>
        <v>0</v>
      </c>
      <c r="R159" s="57" t="str">
        <f t="shared" si="92"/>
        <v/>
      </c>
      <c r="S159" s="135" t="str">
        <f t="shared" si="93"/>
        <v/>
      </c>
      <c r="T159" s="132" t="str">
        <f t="shared" si="77"/>
        <v/>
      </c>
      <c r="U159" s="32" t="str">
        <f t="shared" si="78"/>
        <v/>
      </c>
      <c r="V159" s="135" t="str">
        <f t="shared" si="79"/>
        <v/>
      </c>
      <c r="W159" s="136" t="str">
        <f t="shared" si="80"/>
        <v/>
      </c>
      <c r="X159" s="136" t="str">
        <f t="shared" si="81"/>
        <v/>
      </c>
      <c r="Y159" s="136" t="str">
        <f t="shared" si="94"/>
        <v/>
      </c>
      <c r="Z159" s="136" t="str">
        <f t="shared" si="95"/>
        <v/>
      </c>
      <c r="AA159" s="137" t="str">
        <f t="shared" si="82"/>
        <v/>
      </c>
      <c r="AB159" s="135" t="str">
        <f t="shared" si="83"/>
        <v/>
      </c>
      <c r="AC159" s="135" t="str">
        <f t="shared" si="84"/>
        <v/>
      </c>
      <c r="AD159" s="136" t="str">
        <f t="shared" si="85"/>
        <v/>
      </c>
      <c r="AE159" s="136" t="str">
        <f t="shared" si="86"/>
        <v/>
      </c>
      <c r="AF159" s="136" t="str">
        <f t="shared" si="96"/>
        <v/>
      </c>
      <c r="AG159" s="136" t="str">
        <f t="shared" si="97"/>
        <v/>
      </c>
      <c r="AH159" s="137" t="str">
        <f t="shared" si="87"/>
        <v/>
      </c>
      <c r="AI159" s="135" t="str">
        <f t="shared" si="88"/>
        <v/>
      </c>
      <c r="AJ159" s="135" t="str">
        <f t="shared" si="89"/>
        <v/>
      </c>
      <c r="AK159" s="31" t="str">
        <f t="shared" si="90"/>
        <v/>
      </c>
      <c r="AL159" s="31" t="str">
        <f t="shared" si="91"/>
        <v/>
      </c>
    </row>
    <row r="160" spans="4:38" x14ac:dyDescent="0.25">
      <c r="D160" s="5" t="str">
        <f>IFERROR(VLOOKUP(E160,'Chemical data ref sheet'!$A$1:$E$163,2,FALSE),"")</f>
        <v/>
      </c>
      <c r="E160" s="16"/>
      <c r="F160" s="5" t="str">
        <f>IFERROR(VLOOKUP(E160,'Chemical data ref sheet'!$A$1:$E$163,3,FALSE),"")</f>
        <v/>
      </c>
      <c r="G160" s="5"/>
      <c r="H160" s="5" t="str">
        <f>IFERROR(VLOOKUP(E160,'Chemical data ref sheet'!$A$1:$E$163,4,FALSE),"")</f>
        <v/>
      </c>
      <c r="I160" s="5" t="str">
        <f>IFERROR(VLOOKUP(E160,'Chemical data ref sheet'!$A$1:$E$163,5,FALSE),"")</f>
        <v/>
      </c>
      <c r="J160" s="7"/>
      <c r="K160" s="7"/>
      <c r="L160" s="290"/>
      <c r="M160" s="7"/>
      <c r="N160" s="7"/>
      <c r="O160" s="7"/>
      <c r="P160" s="133">
        <f>SUMIFS('Product samples'!E:E, 'Product samples'!A:A, B160)</f>
        <v>0</v>
      </c>
      <c r="Q160" s="134">
        <f t="shared" si="76"/>
        <v>0</v>
      </c>
      <c r="R160" s="57" t="str">
        <f t="shared" si="92"/>
        <v/>
      </c>
      <c r="S160" s="135" t="str">
        <f t="shared" si="93"/>
        <v/>
      </c>
      <c r="T160" s="132" t="str">
        <f t="shared" si="77"/>
        <v/>
      </c>
      <c r="U160" s="32" t="str">
        <f t="shared" si="78"/>
        <v/>
      </c>
      <c r="V160" s="135" t="str">
        <f t="shared" si="79"/>
        <v/>
      </c>
      <c r="W160" s="136" t="str">
        <f t="shared" si="80"/>
        <v/>
      </c>
      <c r="X160" s="136" t="str">
        <f t="shared" si="81"/>
        <v/>
      </c>
      <c r="Y160" s="136" t="str">
        <f t="shared" si="94"/>
        <v/>
      </c>
      <c r="Z160" s="136" t="str">
        <f t="shared" si="95"/>
        <v/>
      </c>
      <c r="AA160" s="137" t="str">
        <f t="shared" si="82"/>
        <v/>
      </c>
      <c r="AB160" s="135" t="str">
        <f t="shared" si="83"/>
        <v/>
      </c>
      <c r="AC160" s="135" t="str">
        <f t="shared" si="84"/>
        <v/>
      </c>
      <c r="AD160" s="136" t="str">
        <f t="shared" si="85"/>
        <v/>
      </c>
      <c r="AE160" s="136" t="str">
        <f t="shared" si="86"/>
        <v/>
      </c>
      <c r="AF160" s="136" t="str">
        <f t="shared" si="96"/>
        <v/>
      </c>
      <c r="AG160" s="136" t="str">
        <f t="shared" si="97"/>
        <v/>
      </c>
      <c r="AH160" s="137" t="str">
        <f t="shared" si="87"/>
        <v/>
      </c>
      <c r="AI160" s="135" t="str">
        <f t="shared" si="88"/>
        <v/>
      </c>
      <c r="AJ160" s="135" t="str">
        <f t="shared" si="89"/>
        <v/>
      </c>
      <c r="AK160" s="31" t="str">
        <f t="shared" si="90"/>
        <v/>
      </c>
      <c r="AL160" s="31" t="str">
        <f t="shared" si="91"/>
        <v/>
      </c>
    </row>
    <row r="161" spans="4:38" x14ac:dyDescent="0.25">
      <c r="D161" s="5" t="str">
        <f>IFERROR(VLOOKUP(E161,'Chemical data ref sheet'!$A$1:$E$163,2,FALSE),"")</f>
        <v/>
      </c>
      <c r="E161" s="16"/>
      <c r="F161" s="5"/>
      <c r="G161" s="5"/>
      <c r="H161" s="5" t="str">
        <f>IFERROR(VLOOKUP(E161,'Chemical data ref sheet'!$A$1:$E$163,4,FALSE),"")</f>
        <v/>
      </c>
      <c r="I161" s="5" t="str">
        <f>IFERROR(VLOOKUP(E161,'Chemical data ref sheet'!$A$1:$E$163,5,FALSE),"")</f>
        <v/>
      </c>
      <c r="J161" s="7"/>
      <c r="K161" s="7"/>
      <c r="L161" s="290"/>
      <c r="M161" s="7"/>
      <c r="N161" s="7"/>
      <c r="O161" s="7"/>
      <c r="P161" s="133">
        <f>SUMIFS('Product samples'!E:E, 'Product samples'!A:A, B161)</f>
        <v>0</v>
      </c>
      <c r="Q161" s="134">
        <f t="shared" si="76"/>
        <v>0</v>
      </c>
      <c r="R161" s="57" t="str">
        <f t="shared" si="92"/>
        <v/>
      </c>
      <c r="S161" s="135" t="str">
        <f t="shared" si="93"/>
        <v/>
      </c>
      <c r="T161" s="132" t="str">
        <f t="shared" si="77"/>
        <v/>
      </c>
      <c r="U161" s="32" t="str">
        <f t="shared" si="78"/>
        <v/>
      </c>
      <c r="V161" s="135" t="str">
        <f t="shared" si="79"/>
        <v/>
      </c>
      <c r="W161" s="136" t="str">
        <f t="shared" si="80"/>
        <v/>
      </c>
      <c r="X161" s="136" t="str">
        <f t="shared" si="81"/>
        <v/>
      </c>
      <c r="Y161" s="136" t="str">
        <f t="shared" si="94"/>
        <v/>
      </c>
      <c r="Z161" s="136" t="str">
        <f t="shared" si="95"/>
        <v/>
      </c>
      <c r="AA161" s="137" t="str">
        <f t="shared" si="82"/>
        <v/>
      </c>
      <c r="AB161" s="135" t="str">
        <f t="shared" si="83"/>
        <v/>
      </c>
      <c r="AC161" s="135" t="str">
        <f t="shared" si="84"/>
        <v/>
      </c>
      <c r="AD161" s="136" t="str">
        <f t="shared" si="85"/>
        <v/>
      </c>
      <c r="AE161" s="136" t="str">
        <f t="shared" si="86"/>
        <v/>
      </c>
      <c r="AF161" s="136" t="str">
        <f t="shared" si="96"/>
        <v/>
      </c>
      <c r="AG161" s="136" t="str">
        <f t="shared" si="97"/>
        <v/>
      </c>
      <c r="AH161" s="137" t="str">
        <f t="shared" si="87"/>
        <v/>
      </c>
      <c r="AI161" s="135" t="str">
        <f t="shared" si="88"/>
        <v/>
      </c>
      <c r="AJ161" s="135" t="str">
        <f t="shared" si="89"/>
        <v/>
      </c>
      <c r="AK161" s="31" t="str">
        <f>IFERROR(IF(B161&lt;&gt;"",AH161-Q161,""),"")</f>
        <v/>
      </c>
      <c r="AL161" s="31" t="str">
        <f>IFERROR(IF(B161&lt;&gt;"",AI161-(Q161/1000),""),"")</f>
        <v/>
      </c>
    </row>
    <row r="162" spans="4:38" x14ac:dyDescent="0.25">
      <c r="D162" s="5" t="str">
        <f>IFERROR(VLOOKUP(E162,'Chemical data ref sheet'!$A$1:$E$163,2,FALSE),"")</f>
        <v/>
      </c>
      <c r="E162" s="16"/>
      <c r="F162" s="5" t="str">
        <f>IFERROR(VLOOKUP(E162,'Chemical data ref sheet'!$A$1:$E$163,3,FALSE),"")</f>
        <v/>
      </c>
      <c r="G162" s="5"/>
      <c r="H162" s="5" t="str">
        <f>IFERROR(VLOOKUP(E162,'Chemical data ref sheet'!$A$1:$E$163,4,FALSE),"")</f>
        <v/>
      </c>
      <c r="I162" s="5" t="str">
        <f>IFERROR(VLOOKUP(E162,'Chemical data ref sheet'!$A$1:$E$163,5,FALSE),"")</f>
        <v/>
      </c>
      <c r="J162" s="7"/>
      <c r="K162" s="7"/>
      <c r="L162" s="290"/>
      <c r="M162" s="7"/>
      <c r="N162" s="7"/>
      <c r="O162" s="7"/>
      <c r="P162" s="133">
        <f>SUMIFS('Product samples'!E:E, 'Product samples'!A:A, B162)</f>
        <v>0</v>
      </c>
      <c r="Q162" s="134">
        <f t="shared" si="76"/>
        <v>0</v>
      </c>
      <c r="R162" s="57" t="str">
        <f t="shared" si="92"/>
        <v/>
      </c>
      <c r="S162" s="135" t="str">
        <f t="shared" si="93"/>
        <v/>
      </c>
      <c r="T162" s="132" t="str">
        <f t="shared" si="77"/>
        <v/>
      </c>
      <c r="U162" s="32" t="str">
        <f t="shared" si="78"/>
        <v/>
      </c>
      <c r="V162" s="135" t="str">
        <f t="shared" si="79"/>
        <v/>
      </c>
      <c r="W162" s="136" t="str">
        <f t="shared" si="80"/>
        <v/>
      </c>
      <c r="X162" s="136" t="str">
        <f t="shared" si="81"/>
        <v/>
      </c>
      <c r="Y162" s="136" t="str">
        <f t="shared" si="94"/>
        <v/>
      </c>
      <c r="Z162" s="136" t="str">
        <f t="shared" si="95"/>
        <v/>
      </c>
      <c r="AA162" s="137" t="str">
        <f t="shared" si="82"/>
        <v/>
      </c>
      <c r="AB162" s="135" t="str">
        <f t="shared" si="83"/>
        <v/>
      </c>
      <c r="AC162" s="135" t="str">
        <f t="shared" si="84"/>
        <v/>
      </c>
      <c r="AD162" s="136" t="str">
        <f t="shared" si="85"/>
        <v/>
      </c>
      <c r="AE162" s="136" t="str">
        <f t="shared" si="86"/>
        <v/>
      </c>
      <c r="AF162" s="136" t="str">
        <f t="shared" si="96"/>
        <v/>
      </c>
      <c r="AG162" s="136" t="str">
        <f t="shared" si="97"/>
        <v/>
      </c>
      <c r="AH162" s="137" t="str">
        <f t="shared" si="87"/>
        <v/>
      </c>
      <c r="AI162" s="135" t="str">
        <f t="shared" si="88"/>
        <v/>
      </c>
      <c r="AJ162" s="135" t="str">
        <f t="shared" si="89"/>
        <v/>
      </c>
      <c r="AK162" s="31" t="str">
        <f t="shared" si="90"/>
        <v/>
      </c>
      <c r="AL162" s="31" t="str">
        <f t="shared" si="91"/>
        <v/>
      </c>
    </row>
    <row r="163" spans="4:38" x14ac:dyDescent="0.25">
      <c r="D163" s="5" t="str">
        <f>IFERROR(VLOOKUP(E163,'Chemical data ref sheet'!$A$1:$E$163,2,FALSE),"")</f>
        <v/>
      </c>
      <c r="E163" s="16"/>
      <c r="F163" s="5" t="str">
        <f>IFERROR(VLOOKUP(E163,'Chemical data ref sheet'!$A$1:$E$163,3,FALSE),"")</f>
        <v/>
      </c>
      <c r="G163" s="5"/>
      <c r="H163" s="5" t="str">
        <f>IFERROR(VLOOKUP(E163,'Chemical data ref sheet'!$A$1:$E$163,4,FALSE),"")</f>
        <v/>
      </c>
      <c r="I163" s="5" t="str">
        <f>IFERROR(VLOOKUP(E163,'Chemical data ref sheet'!$A$1:$E$163,5,FALSE),"")</f>
        <v/>
      </c>
      <c r="J163" s="7"/>
      <c r="K163" s="7"/>
      <c r="L163" s="290"/>
      <c r="M163" s="7"/>
      <c r="N163" s="7"/>
      <c r="O163" s="7"/>
      <c r="P163" s="133">
        <f>SUMIFS('Product samples'!E:E, 'Product samples'!A:A, B163)</f>
        <v>0</v>
      </c>
      <c r="Q163" s="134">
        <f t="shared" si="76"/>
        <v>0</v>
      </c>
      <c r="R163" s="57" t="str">
        <f t="shared" si="92"/>
        <v/>
      </c>
      <c r="S163" s="135" t="str">
        <f t="shared" si="93"/>
        <v/>
      </c>
      <c r="T163" s="132" t="str">
        <f t="shared" si="77"/>
        <v/>
      </c>
      <c r="U163" s="32" t="str">
        <f t="shared" si="78"/>
        <v/>
      </c>
      <c r="V163" s="135" t="str">
        <f t="shared" si="79"/>
        <v/>
      </c>
      <c r="W163" s="136" t="str">
        <f t="shared" si="80"/>
        <v/>
      </c>
      <c r="X163" s="136" t="str">
        <f t="shared" si="81"/>
        <v/>
      </c>
      <c r="Y163" s="136" t="str">
        <f t="shared" si="94"/>
        <v/>
      </c>
      <c r="Z163" s="136" t="str">
        <f t="shared" si="95"/>
        <v/>
      </c>
      <c r="AA163" s="137" t="str">
        <f t="shared" si="82"/>
        <v/>
      </c>
      <c r="AB163" s="135" t="str">
        <f t="shared" si="83"/>
        <v/>
      </c>
      <c r="AC163" s="135" t="str">
        <f t="shared" si="84"/>
        <v/>
      </c>
      <c r="AD163" s="136" t="str">
        <f t="shared" si="85"/>
        <v/>
      </c>
      <c r="AE163" s="136" t="str">
        <f t="shared" si="86"/>
        <v/>
      </c>
      <c r="AF163" s="136" t="str">
        <f t="shared" si="96"/>
        <v/>
      </c>
      <c r="AG163" s="136" t="str">
        <f t="shared" si="97"/>
        <v/>
      </c>
      <c r="AH163" s="137" t="str">
        <f t="shared" si="87"/>
        <v/>
      </c>
      <c r="AI163" s="135" t="str">
        <f t="shared" si="88"/>
        <v/>
      </c>
      <c r="AJ163" s="135" t="str">
        <f t="shared" si="89"/>
        <v/>
      </c>
      <c r="AK163" s="31" t="str">
        <f t="shared" si="90"/>
        <v/>
      </c>
      <c r="AL163" s="31" t="str">
        <f t="shared" si="91"/>
        <v/>
      </c>
    </row>
    <row r="164" spans="4:38" x14ac:dyDescent="0.25">
      <c r="D164" s="5" t="str">
        <f>IFERROR(VLOOKUP(E164,'Chemical data ref sheet'!$A$1:$E$163,2,FALSE),"")</f>
        <v/>
      </c>
      <c r="E164" s="16"/>
      <c r="F164" s="5" t="str">
        <f>IFERROR(VLOOKUP(E164,'Chemical data ref sheet'!$A$1:$E$163,3,FALSE),"")</f>
        <v/>
      </c>
      <c r="G164" s="5"/>
      <c r="H164" s="5" t="str">
        <f>IFERROR(VLOOKUP(E164,'Chemical data ref sheet'!$A$1:$E$163,4,FALSE),"")</f>
        <v/>
      </c>
      <c r="I164" s="5" t="str">
        <f>IFERROR(VLOOKUP(E164,'Chemical data ref sheet'!$A$1:$E$163,5,FALSE),"")</f>
        <v/>
      </c>
      <c r="J164" s="7"/>
      <c r="K164" s="7"/>
      <c r="L164" s="290"/>
      <c r="M164" s="7"/>
      <c r="N164" s="7"/>
      <c r="O164" s="7"/>
      <c r="P164" s="133">
        <f>SUMIFS('Product samples'!E:E, 'Product samples'!A:A, B164)</f>
        <v>0</v>
      </c>
      <c r="Q164" s="134">
        <f t="shared" si="76"/>
        <v>0</v>
      </c>
      <c r="R164" s="57" t="str">
        <f t="shared" si="92"/>
        <v/>
      </c>
      <c r="S164" s="135" t="str">
        <f t="shared" si="93"/>
        <v/>
      </c>
      <c r="T164" s="132" t="str">
        <f t="shared" si="77"/>
        <v/>
      </c>
      <c r="U164" s="32" t="str">
        <f t="shared" si="78"/>
        <v/>
      </c>
      <c r="V164" s="135" t="str">
        <f t="shared" si="79"/>
        <v/>
      </c>
      <c r="W164" s="136" t="str">
        <f t="shared" si="80"/>
        <v/>
      </c>
      <c r="X164" s="136" t="str">
        <f t="shared" si="81"/>
        <v/>
      </c>
      <c r="Y164" s="136" t="str">
        <f t="shared" si="94"/>
        <v/>
      </c>
      <c r="Z164" s="136" t="str">
        <f t="shared" si="95"/>
        <v/>
      </c>
      <c r="AA164" s="137" t="str">
        <f t="shared" si="82"/>
        <v/>
      </c>
      <c r="AB164" s="135" t="str">
        <f t="shared" si="83"/>
        <v/>
      </c>
      <c r="AC164" s="135" t="str">
        <f t="shared" si="84"/>
        <v/>
      </c>
      <c r="AD164" s="136" t="str">
        <f t="shared" si="85"/>
        <v/>
      </c>
      <c r="AE164" s="136" t="str">
        <f t="shared" si="86"/>
        <v/>
      </c>
      <c r="AF164" s="136" t="str">
        <f t="shared" si="96"/>
        <v/>
      </c>
      <c r="AG164" s="136" t="str">
        <f t="shared" si="97"/>
        <v/>
      </c>
      <c r="AH164" s="137" t="str">
        <f t="shared" si="87"/>
        <v/>
      </c>
      <c r="AI164" s="135" t="str">
        <f t="shared" si="88"/>
        <v/>
      </c>
      <c r="AJ164" s="135" t="str">
        <f t="shared" si="89"/>
        <v/>
      </c>
      <c r="AK164" s="31" t="str">
        <f t="shared" si="90"/>
        <v/>
      </c>
      <c r="AL164" s="31" t="str">
        <f t="shared" si="91"/>
        <v/>
      </c>
    </row>
    <row r="165" spans="4:38" x14ac:dyDescent="0.25">
      <c r="D165" s="5" t="str">
        <f>IFERROR(VLOOKUP(E165,'Chemical data ref sheet'!$A$1:$E$163,2,FALSE),"")</f>
        <v/>
      </c>
      <c r="E165" s="16"/>
      <c r="F165" s="5" t="str">
        <f>IFERROR(VLOOKUP(E165,'Chemical data ref sheet'!$A$1:$E$163,3,FALSE),"")</f>
        <v/>
      </c>
      <c r="G165" s="5"/>
      <c r="H165" s="5" t="str">
        <f>IFERROR(VLOOKUP(E165,'Chemical data ref sheet'!$A$1:$E$163,4,FALSE),"")</f>
        <v/>
      </c>
      <c r="I165" s="5" t="str">
        <f>IFERROR(VLOOKUP(E165,'Chemical data ref sheet'!$A$1:$E$163,5,FALSE),"")</f>
        <v/>
      </c>
      <c r="J165" s="7"/>
      <c r="K165" s="7"/>
      <c r="L165" s="290"/>
      <c r="M165" s="7"/>
      <c r="N165" s="7"/>
      <c r="O165" s="7"/>
      <c r="P165" s="133">
        <f>SUMIFS('Product samples'!E:E, 'Product samples'!A:A, B165)</f>
        <v>0</v>
      </c>
      <c r="Q165" s="134">
        <f t="shared" si="76"/>
        <v>0</v>
      </c>
      <c r="R165" s="57" t="str">
        <f t="shared" si="92"/>
        <v/>
      </c>
      <c r="S165" s="135" t="str">
        <f t="shared" si="93"/>
        <v/>
      </c>
      <c r="T165" s="132" t="str">
        <f t="shared" si="77"/>
        <v/>
      </c>
      <c r="U165" s="32" t="str">
        <f t="shared" si="78"/>
        <v/>
      </c>
      <c r="V165" s="135" t="str">
        <f t="shared" si="79"/>
        <v/>
      </c>
      <c r="W165" s="136" t="str">
        <f t="shared" si="80"/>
        <v/>
      </c>
      <c r="X165" s="136" t="str">
        <f t="shared" si="81"/>
        <v/>
      </c>
      <c r="Y165" s="136" t="str">
        <f t="shared" si="94"/>
        <v/>
      </c>
      <c r="Z165" s="136" t="str">
        <f t="shared" si="95"/>
        <v/>
      </c>
      <c r="AA165" s="137" t="str">
        <f t="shared" si="82"/>
        <v/>
      </c>
      <c r="AB165" s="135" t="str">
        <f t="shared" si="83"/>
        <v/>
      </c>
      <c r="AC165" s="135" t="str">
        <f t="shared" si="84"/>
        <v/>
      </c>
      <c r="AD165" s="136" t="str">
        <f t="shared" si="85"/>
        <v/>
      </c>
      <c r="AE165" s="136" t="str">
        <f t="shared" si="86"/>
        <v/>
      </c>
      <c r="AF165" s="136" t="str">
        <f t="shared" si="96"/>
        <v/>
      </c>
      <c r="AG165" s="136" t="str">
        <f t="shared" si="97"/>
        <v/>
      </c>
      <c r="AH165" s="137" t="str">
        <f t="shared" si="87"/>
        <v/>
      </c>
      <c r="AI165" s="135" t="str">
        <f t="shared" si="88"/>
        <v/>
      </c>
      <c r="AJ165" s="135" t="str">
        <f t="shared" si="89"/>
        <v/>
      </c>
      <c r="AK165" s="31" t="str">
        <f t="shared" si="90"/>
        <v/>
      </c>
      <c r="AL165" s="31" t="str">
        <f t="shared" si="91"/>
        <v/>
      </c>
    </row>
    <row r="166" spans="4:38" x14ac:dyDescent="0.25">
      <c r="D166" s="5" t="str">
        <f>IFERROR(VLOOKUP(E166,'Chemical data ref sheet'!$A$1:$E$163,2,FALSE),"")</f>
        <v/>
      </c>
      <c r="E166" s="16"/>
      <c r="F166" s="5" t="str">
        <f>IFERROR(VLOOKUP(E166,'Chemical data ref sheet'!$A$1:$E$163,3,FALSE),"")</f>
        <v/>
      </c>
      <c r="G166" s="5"/>
      <c r="H166" s="5" t="str">
        <f>IFERROR(VLOOKUP(E166,'Chemical data ref sheet'!$A$1:$E$163,4,FALSE),"")</f>
        <v/>
      </c>
      <c r="I166" s="5" t="str">
        <f>IFERROR(VLOOKUP(E166,'Chemical data ref sheet'!$A$1:$E$163,5,FALSE),"")</f>
        <v/>
      </c>
      <c r="J166" s="7"/>
      <c r="K166" s="7"/>
      <c r="L166" s="290"/>
      <c r="M166" s="7"/>
      <c r="N166" s="7"/>
      <c r="O166" s="7"/>
      <c r="P166" s="133">
        <f>SUMIFS('Product samples'!E:E, 'Product samples'!A:A, B166)</f>
        <v>0</v>
      </c>
      <c r="Q166" s="134">
        <f t="shared" si="76"/>
        <v>0</v>
      </c>
      <c r="R166" s="57" t="str">
        <f t="shared" si="92"/>
        <v/>
      </c>
      <c r="S166" s="135" t="str">
        <f t="shared" si="93"/>
        <v/>
      </c>
      <c r="T166" s="132" t="str">
        <f t="shared" si="77"/>
        <v/>
      </c>
      <c r="U166" s="32" t="str">
        <f t="shared" si="78"/>
        <v/>
      </c>
      <c r="V166" s="135" t="str">
        <f t="shared" si="79"/>
        <v/>
      </c>
      <c r="W166" s="136" t="str">
        <f t="shared" si="80"/>
        <v/>
      </c>
      <c r="X166" s="136" t="str">
        <f t="shared" si="81"/>
        <v/>
      </c>
      <c r="Y166" s="136" t="str">
        <f t="shared" si="94"/>
        <v/>
      </c>
      <c r="Z166" s="136" t="str">
        <f t="shared" si="95"/>
        <v/>
      </c>
      <c r="AA166" s="137" t="str">
        <f t="shared" si="82"/>
        <v/>
      </c>
      <c r="AB166" s="135" t="str">
        <f t="shared" si="83"/>
        <v/>
      </c>
      <c r="AC166" s="135" t="str">
        <f t="shared" si="84"/>
        <v/>
      </c>
      <c r="AD166" s="136" t="str">
        <f t="shared" si="85"/>
        <v/>
      </c>
      <c r="AE166" s="136" t="str">
        <f t="shared" si="86"/>
        <v/>
      </c>
      <c r="AF166" s="136" t="str">
        <f t="shared" si="96"/>
        <v/>
      </c>
      <c r="AG166" s="136" t="str">
        <f t="shared" si="97"/>
        <v/>
      </c>
      <c r="AH166" s="137" t="str">
        <f t="shared" si="87"/>
        <v/>
      </c>
      <c r="AI166" s="135" t="str">
        <f t="shared" si="88"/>
        <v/>
      </c>
      <c r="AJ166" s="135" t="str">
        <f t="shared" si="89"/>
        <v/>
      </c>
      <c r="AK166" s="31" t="str">
        <f t="shared" si="90"/>
        <v/>
      </c>
      <c r="AL166" s="31" t="str">
        <f t="shared" si="91"/>
        <v/>
      </c>
    </row>
    <row r="167" spans="4:38" x14ac:dyDescent="0.25">
      <c r="D167" s="5" t="str">
        <f>IFERROR(VLOOKUP(E167,'Chemical data ref sheet'!$A$1:$E$163,2,FALSE),"")</f>
        <v/>
      </c>
      <c r="E167" s="16"/>
      <c r="F167" s="5" t="str">
        <f>IFERROR(VLOOKUP(E167,'Chemical data ref sheet'!$A$1:$E$163,3,FALSE),"")</f>
        <v/>
      </c>
      <c r="G167" s="5"/>
      <c r="H167" s="5" t="str">
        <f>IFERROR(VLOOKUP(E167,'Chemical data ref sheet'!$A$1:$E$163,4,FALSE),"")</f>
        <v/>
      </c>
      <c r="I167" s="5" t="str">
        <f>IFERROR(VLOOKUP(E167,'Chemical data ref sheet'!$A$1:$E$163,5,FALSE),"")</f>
        <v/>
      </c>
      <c r="J167" s="7"/>
      <c r="K167" s="7"/>
      <c r="L167" s="290"/>
      <c r="M167" s="7"/>
      <c r="N167" s="7"/>
      <c r="O167" s="7"/>
      <c r="P167" s="133">
        <f>SUMIFS('Product samples'!E:E, 'Product samples'!A:A, B167)</f>
        <v>0</v>
      </c>
      <c r="Q167" s="134">
        <f t="shared" si="76"/>
        <v>0</v>
      </c>
      <c r="R167" s="57" t="str">
        <f t="shared" si="92"/>
        <v/>
      </c>
      <c r="S167" s="135" t="str">
        <f t="shared" si="93"/>
        <v/>
      </c>
      <c r="T167" s="132" t="str">
        <f t="shared" si="77"/>
        <v/>
      </c>
      <c r="U167" s="32" t="str">
        <f t="shared" si="78"/>
        <v/>
      </c>
      <c r="V167" s="135" t="str">
        <f t="shared" si="79"/>
        <v/>
      </c>
      <c r="W167" s="136" t="str">
        <f t="shared" si="80"/>
        <v/>
      </c>
      <c r="X167" s="136" t="str">
        <f t="shared" si="81"/>
        <v/>
      </c>
      <c r="Y167" s="136" t="str">
        <f t="shared" si="94"/>
        <v/>
      </c>
      <c r="Z167" s="136" t="str">
        <f t="shared" si="95"/>
        <v/>
      </c>
      <c r="AA167" s="137" t="str">
        <f t="shared" si="82"/>
        <v/>
      </c>
      <c r="AB167" s="135" t="str">
        <f t="shared" si="83"/>
        <v/>
      </c>
      <c r="AC167" s="135" t="str">
        <f t="shared" si="84"/>
        <v/>
      </c>
      <c r="AD167" s="136" t="str">
        <f t="shared" si="85"/>
        <v/>
      </c>
      <c r="AE167" s="136" t="str">
        <f t="shared" si="86"/>
        <v/>
      </c>
      <c r="AF167" s="136" t="str">
        <f t="shared" si="96"/>
        <v/>
      </c>
      <c r="AG167" s="136" t="str">
        <f t="shared" si="97"/>
        <v/>
      </c>
      <c r="AH167" s="137" t="str">
        <f t="shared" si="87"/>
        <v/>
      </c>
      <c r="AI167" s="135" t="str">
        <f t="shared" si="88"/>
        <v/>
      </c>
      <c r="AJ167" s="135" t="str">
        <f t="shared" si="89"/>
        <v/>
      </c>
      <c r="AK167" s="31" t="str">
        <f t="shared" si="90"/>
        <v/>
      </c>
      <c r="AL167" s="31" t="str">
        <f t="shared" si="91"/>
        <v/>
      </c>
    </row>
    <row r="168" spans="4:38" x14ac:dyDescent="0.25">
      <c r="D168" s="5" t="str">
        <f>IFERROR(VLOOKUP(E168,'Chemical data ref sheet'!$A$1:$E$163,2,FALSE),"")</f>
        <v/>
      </c>
      <c r="E168" s="16"/>
      <c r="F168" s="5" t="str">
        <f>IFERROR(VLOOKUP(E168,'Chemical data ref sheet'!$A$1:$E$163,3,FALSE),"")</f>
        <v/>
      </c>
      <c r="G168" s="5"/>
      <c r="H168" s="5" t="str">
        <f>IFERROR(VLOOKUP(E168,'Chemical data ref sheet'!$A$1:$E$163,4,FALSE),"")</f>
        <v/>
      </c>
      <c r="I168" s="5" t="str">
        <f>IFERROR(VLOOKUP(E168,'Chemical data ref sheet'!$A$1:$E$163,5,FALSE),"")</f>
        <v/>
      </c>
      <c r="J168" s="7"/>
      <c r="K168" s="7"/>
      <c r="L168" s="290"/>
      <c r="M168" s="7"/>
      <c r="N168" s="7"/>
      <c r="O168" s="7"/>
      <c r="P168" s="133">
        <f>SUMIFS('Product samples'!E:E, 'Product samples'!A:A, B168)</f>
        <v>0</v>
      </c>
      <c r="Q168" s="134">
        <f t="shared" ref="Q168:Q231" si="98">IFERROR((P168/1000)/H168,0)</f>
        <v>0</v>
      </c>
      <c r="R168" s="57" t="str">
        <f t="shared" si="92"/>
        <v/>
      </c>
      <c r="S168" s="135" t="str">
        <f t="shared" si="93"/>
        <v/>
      </c>
      <c r="T168" s="132" t="str">
        <f t="shared" ref="T168:T231" si="99">IF(AM168&lt;&gt;"",AM168/H168,IF(AND(C168=D168,C168&lt;&gt;""),R168,IF(O168&lt;&gt;"",O168*R168,IF(J168&lt;&gt;"",J168*R168,""))))</f>
        <v/>
      </c>
      <c r="U168" s="32" t="str">
        <f t="shared" ref="U168:U231" si="100">IF(AND(H168&lt;&gt;"",T168&lt;&gt;""),T168*H168,IF(L168&lt;&gt;"",S168*L168,""))</f>
        <v/>
      </c>
      <c r="V168" s="135" t="str">
        <f t="shared" ref="V168:V231" si="101">IFERROR(IF(AND(U168&lt;&gt;"",I168&lt;&gt;""),U168/I168,IF(AND(S168&lt;&gt;"",K168&lt;&gt;""),K168*S168,"")),"")</f>
        <v/>
      </c>
      <c r="W168" s="136" t="str">
        <f t="shared" ref="W168:W231" si="102">IFERROR(IF(B168&lt;&gt;"",T168-Q168,""),"")</f>
        <v/>
      </c>
      <c r="X168" s="136" t="str">
        <f t="shared" ref="X168:X231" si="103">IFERROR(IF(B168&lt;&gt;"",U168-(P168/1000),""),"")</f>
        <v/>
      </c>
      <c r="Y168" s="136" t="str">
        <f t="shared" si="94"/>
        <v/>
      </c>
      <c r="Z168" s="136" t="str">
        <f t="shared" si="95"/>
        <v/>
      </c>
      <c r="AA168" s="137" t="str">
        <f t="shared" ref="AA168:AA231" si="104">IF(AM168&lt;&gt;"",AM168/H168,IF(AND(C168=D168,C168&lt;&gt;""),Y168,IF(M168&lt;&gt;"",M168*Y168,IF(J168&lt;&gt;"",J168*Y168,""))))</f>
        <v/>
      </c>
      <c r="AB168" s="135" t="str">
        <f t="shared" ref="AB168:AB231" si="105">IF(AND(H168&lt;&gt;"",AA168&lt;&gt;""),AA168*H168,IF(L168&lt;&gt;"",Z168*L168,""))</f>
        <v/>
      </c>
      <c r="AC168" s="135" t="str">
        <f t="shared" ref="AC168:AC231" si="106">IFERROR(IF(AND(AB168&lt;&gt;"",I168&lt;&gt;""),AB168/I168,IF(AND(Z168&lt;&gt;"",K168&lt;&gt;""),K168*Z168,"")),"")</f>
        <v/>
      </c>
      <c r="AD168" s="136" t="str">
        <f t="shared" ref="AD168:AD231" si="107">IFERROR(IF(B168&lt;&gt;"",AA168-Q168,""),"")</f>
        <v/>
      </c>
      <c r="AE168" s="136" t="str">
        <f t="shared" ref="AE168:AE231" si="108">IFERROR(IF(B168&lt;&gt;"",AB168-(P168/1000),""),"")</f>
        <v/>
      </c>
      <c r="AF168" s="136" t="str">
        <f t="shared" si="96"/>
        <v/>
      </c>
      <c r="AG168" s="136" t="str">
        <f t="shared" si="97"/>
        <v/>
      </c>
      <c r="AH168" s="137" t="str">
        <f t="shared" ref="AH168:AH231" si="109">IF(AM168&lt;&gt;"",AM168/H168,IF(AND(C168=D168,C168&lt;&gt;""),AF168,IF(N168&lt;&gt;"",N168*AF168,IF(J168&lt;&gt;"",J168*AF168,""))))</f>
        <v/>
      </c>
      <c r="AI168" s="135" t="str">
        <f t="shared" ref="AI168:AI231" si="110">IF(AND(H168&lt;&gt;"",AH168&lt;&gt;""),AH168*H168,IF(L168&lt;&gt;"",AG168*L168,""))</f>
        <v/>
      </c>
      <c r="AJ168" s="135" t="str">
        <f t="shared" ref="AJ168:AJ231" si="111">IFERROR(IF(AND(AI168&lt;&gt;"",I168&lt;&gt;""),AI168/I168,IF(AND(AG168&lt;&gt;"",K168&lt;&gt;""),K168*AG168,"")),"")</f>
        <v/>
      </c>
      <c r="AK168" s="31" t="str">
        <f t="shared" si="90"/>
        <v/>
      </c>
      <c r="AL168" s="31" t="str">
        <f t="shared" si="91"/>
        <v/>
      </c>
    </row>
    <row r="169" spans="4:38" x14ac:dyDescent="0.25">
      <c r="D169" s="5" t="str">
        <f>IFERROR(VLOOKUP(E169,'Chemical data ref sheet'!$A$1:$E$163,2,FALSE),"")</f>
        <v/>
      </c>
      <c r="E169" s="16"/>
      <c r="F169" s="5" t="str">
        <f>IFERROR(VLOOKUP(E169,'Chemical data ref sheet'!$A$1:$E$163,3,FALSE),"")</f>
        <v/>
      </c>
      <c r="G169" s="5"/>
      <c r="H169" s="5" t="str">
        <f>IFERROR(VLOOKUP(E169,'Chemical data ref sheet'!$A$1:$E$163,4,FALSE),"")</f>
        <v/>
      </c>
      <c r="I169" s="5" t="str">
        <f>IFERROR(VLOOKUP(E169,'Chemical data ref sheet'!$A$1:$E$163,5,FALSE),"")</f>
        <v/>
      </c>
      <c r="J169" s="7"/>
      <c r="K169" s="7"/>
      <c r="L169" s="290"/>
      <c r="M169" s="7"/>
      <c r="N169" s="7"/>
      <c r="O169" s="7"/>
      <c r="P169" s="133">
        <f>SUMIFS('Product samples'!E:E, 'Product samples'!A:A, B169)</f>
        <v>0</v>
      </c>
      <c r="Q169" s="134">
        <f t="shared" si="98"/>
        <v>0</v>
      </c>
      <c r="R169" s="57" t="str">
        <f t="shared" si="92"/>
        <v/>
      </c>
      <c r="S169" s="135" t="str">
        <f t="shared" si="93"/>
        <v/>
      </c>
      <c r="T169" s="132" t="str">
        <f t="shared" si="99"/>
        <v/>
      </c>
      <c r="U169" s="32" t="str">
        <f t="shared" si="100"/>
        <v/>
      </c>
      <c r="V169" s="135" t="str">
        <f t="shared" si="101"/>
        <v/>
      </c>
      <c r="W169" s="136" t="str">
        <f t="shared" si="102"/>
        <v/>
      </c>
      <c r="X169" s="136" t="str">
        <f t="shared" si="103"/>
        <v/>
      </c>
      <c r="Y169" s="136" t="str">
        <f t="shared" si="94"/>
        <v/>
      </c>
      <c r="Z169" s="136" t="str">
        <f t="shared" si="95"/>
        <v/>
      </c>
      <c r="AA169" s="137" t="str">
        <f t="shared" si="104"/>
        <v/>
      </c>
      <c r="AB169" s="135" t="str">
        <f t="shared" si="105"/>
        <v/>
      </c>
      <c r="AC169" s="135" t="str">
        <f t="shared" si="106"/>
        <v/>
      </c>
      <c r="AD169" s="136" t="str">
        <f t="shared" si="107"/>
        <v/>
      </c>
      <c r="AE169" s="136" t="str">
        <f t="shared" si="108"/>
        <v/>
      </c>
      <c r="AF169" s="136" t="str">
        <f t="shared" si="96"/>
        <v/>
      </c>
      <c r="AG169" s="136" t="str">
        <f t="shared" si="97"/>
        <v/>
      </c>
      <c r="AH169" s="137" t="str">
        <f t="shared" si="109"/>
        <v/>
      </c>
      <c r="AI169" s="135" t="str">
        <f t="shared" si="110"/>
        <v/>
      </c>
      <c r="AJ169" s="135" t="str">
        <f t="shared" si="111"/>
        <v/>
      </c>
      <c r="AK169" s="31" t="str">
        <f t="shared" si="90"/>
        <v/>
      </c>
      <c r="AL169" s="31" t="str">
        <f t="shared" si="91"/>
        <v/>
      </c>
    </row>
    <row r="170" spans="4:38" x14ac:dyDescent="0.25">
      <c r="D170" s="5" t="str">
        <f>IFERROR(VLOOKUP(E170,'Chemical data ref sheet'!$A$1:$E$163,2,FALSE),"")</f>
        <v/>
      </c>
      <c r="E170" s="16"/>
      <c r="F170" s="5" t="str">
        <f>IFERROR(VLOOKUP(E170,'Chemical data ref sheet'!$A$1:$E$163,3,FALSE),"")</f>
        <v/>
      </c>
      <c r="G170" s="5"/>
      <c r="H170" s="5" t="str">
        <f>IFERROR(VLOOKUP(E170,'Chemical data ref sheet'!$A$1:$E$163,4,FALSE),"")</f>
        <v/>
      </c>
      <c r="I170" s="5" t="str">
        <f>IFERROR(VLOOKUP(E170,'Chemical data ref sheet'!$A$1:$E$163,5,FALSE),"")</f>
        <v/>
      </c>
      <c r="J170" s="7"/>
      <c r="K170" s="7"/>
      <c r="L170" s="290"/>
      <c r="M170" s="7"/>
      <c r="N170" s="7"/>
      <c r="O170" s="7"/>
      <c r="P170" s="133">
        <f>SUMIFS('Product samples'!E:E, 'Product samples'!A:A, B170)</f>
        <v>0</v>
      </c>
      <c r="Q170" s="134">
        <f t="shared" si="98"/>
        <v>0</v>
      </c>
      <c r="R170" s="57" t="str">
        <f t="shared" si="92"/>
        <v/>
      </c>
      <c r="S170" s="135" t="str">
        <f t="shared" si="93"/>
        <v/>
      </c>
      <c r="T170" s="132" t="str">
        <f t="shared" si="99"/>
        <v/>
      </c>
      <c r="U170" s="32" t="str">
        <f t="shared" si="100"/>
        <v/>
      </c>
      <c r="V170" s="135" t="str">
        <f t="shared" si="101"/>
        <v/>
      </c>
      <c r="W170" s="136" t="str">
        <f t="shared" si="102"/>
        <v/>
      </c>
      <c r="X170" s="136" t="str">
        <f t="shared" si="103"/>
        <v/>
      </c>
      <c r="Y170" s="136" t="str">
        <f t="shared" si="94"/>
        <v/>
      </c>
      <c r="Z170" s="136" t="str">
        <f t="shared" si="95"/>
        <v/>
      </c>
      <c r="AA170" s="137" t="str">
        <f t="shared" si="104"/>
        <v/>
      </c>
      <c r="AB170" s="135" t="str">
        <f t="shared" si="105"/>
        <v/>
      </c>
      <c r="AC170" s="135" t="str">
        <f t="shared" si="106"/>
        <v/>
      </c>
      <c r="AD170" s="136" t="str">
        <f t="shared" si="107"/>
        <v/>
      </c>
      <c r="AE170" s="136" t="str">
        <f t="shared" si="108"/>
        <v/>
      </c>
      <c r="AF170" s="136" t="str">
        <f t="shared" si="96"/>
        <v/>
      </c>
      <c r="AG170" s="136" t="str">
        <f t="shared" si="97"/>
        <v/>
      </c>
      <c r="AH170" s="137" t="str">
        <f t="shared" si="109"/>
        <v/>
      </c>
      <c r="AI170" s="135" t="str">
        <f t="shared" si="110"/>
        <v/>
      </c>
      <c r="AJ170" s="135" t="str">
        <f t="shared" si="111"/>
        <v/>
      </c>
      <c r="AK170" s="31" t="str">
        <f t="shared" si="90"/>
        <v/>
      </c>
      <c r="AL170" s="31" t="str">
        <f t="shared" si="91"/>
        <v/>
      </c>
    </row>
    <row r="171" spans="4:38" x14ac:dyDescent="0.25">
      <c r="D171" s="5" t="str">
        <f>IFERROR(VLOOKUP(E171,'Chemical data ref sheet'!$A$1:$E$163,2,FALSE),"")</f>
        <v/>
      </c>
      <c r="E171" s="16"/>
      <c r="F171" s="5" t="str">
        <f>IFERROR(VLOOKUP(E171,'Chemical data ref sheet'!$A$1:$E$163,3,FALSE),"")</f>
        <v/>
      </c>
      <c r="G171" s="5"/>
      <c r="H171" s="5" t="str">
        <f>IFERROR(VLOOKUP(E171,'Chemical data ref sheet'!$A$1:$E$163,4,FALSE),"")</f>
        <v/>
      </c>
      <c r="I171" s="5" t="str">
        <f>IFERROR(VLOOKUP(E171,'Chemical data ref sheet'!$A$1:$E$163,5,FALSE),"")</f>
        <v/>
      </c>
      <c r="J171" s="7"/>
      <c r="K171" s="7"/>
      <c r="L171" s="290"/>
      <c r="M171" s="7"/>
      <c r="N171" s="7"/>
      <c r="O171" s="7"/>
      <c r="P171" s="133">
        <f>SUMIFS('Product samples'!E:E, 'Product samples'!A:A, B171)</f>
        <v>0</v>
      </c>
      <c r="Q171" s="134">
        <f t="shared" si="98"/>
        <v>0</v>
      </c>
      <c r="R171" s="57" t="str">
        <f t="shared" si="92"/>
        <v/>
      </c>
      <c r="S171" s="135" t="str">
        <f t="shared" si="93"/>
        <v/>
      </c>
      <c r="T171" s="132" t="str">
        <f t="shared" si="99"/>
        <v/>
      </c>
      <c r="U171" s="32" t="str">
        <f t="shared" si="100"/>
        <v/>
      </c>
      <c r="V171" s="135" t="str">
        <f t="shared" si="101"/>
        <v/>
      </c>
      <c r="W171" s="136" t="str">
        <f t="shared" si="102"/>
        <v/>
      </c>
      <c r="X171" s="136" t="str">
        <f t="shared" si="103"/>
        <v/>
      </c>
      <c r="Y171" s="136" t="str">
        <f t="shared" si="94"/>
        <v/>
      </c>
      <c r="Z171" s="136" t="str">
        <f t="shared" si="95"/>
        <v/>
      </c>
      <c r="AA171" s="137" t="str">
        <f t="shared" si="104"/>
        <v/>
      </c>
      <c r="AB171" s="135" t="str">
        <f t="shared" si="105"/>
        <v/>
      </c>
      <c r="AC171" s="135" t="str">
        <f t="shared" si="106"/>
        <v/>
      </c>
      <c r="AD171" s="136" t="str">
        <f t="shared" si="107"/>
        <v/>
      </c>
      <c r="AE171" s="136" t="str">
        <f t="shared" si="108"/>
        <v/>
      </c>
      <c r="AF171" s="136" t="str">
        <f t="shared" si="96"/>
        <v/>
      </c>
      <c r="AG171" s="136" t="str">
        <f t="shared" si="97"/>
        <v/>
      </c>
      <c r="AH171" s="137" t="str">
        <f t="shared" si="109"/>
        <v/>
      </c>
      <c r="AI171" s="135" t="str">
        <f t="shared" si="110"/>
        <v/>
      </c>
      <c r="AJ171" s="135" t="str">
        <f t="shared" si="111"/>
        <v/>
      </c>
      <c r="AK171" s="31" t="str">
        <f t="shared" si="90"/>
        <v/>
      </c>
      <c r="AL171" s="31" t="str">
        <f t="shared" si="91"/>
        <v/>
      </c>
    </row>
    <row r="172" spans="4:38" x14ac:dyDescent="0.25">
      <c r="D172" s="5" t="str">
        <f>IFERROR(VLOOKUP(E172,'Chemical data ref sheet'!$A$1:$E$163,2,FALSE),"")</f>
        <v/>
      </c>
      <c r="E172" s="16"/>
      <c r="F172" s="5" t="str">
        <f>IFERROR(VLOOKUP(E172,'Chemical data ref sheet'!$A$1:$E$163,3,FALSE),"")</f>
        <v/>
      </c>
      <c r="G172" s="5"/>
      <c r="H172" s="5" t="str">
        <f>IFERROR(VLOOKUP(E172,'Chemical data ref sheet'!$A$1:$E$163,4,FALSE),"")</f>
        <v/>
      </c>
      <c r="I172" s="5" t="str">
        <f>IFERROR(VLOOKUP(E172,'Chemical data ref sheet'!$A$1:$E$163,5,FALSE),"")</f>
        <v/>
      </c>
      <c r="J172" s="7"/>
      <c r="K172" s="7"/>
      <c r="L172" s="290"/>
      <c r="M172" s="7"/>
      <c r="N172" s="7"/>
      <c r="O172" s="7"/>
      <c r="P172" s="133">
        <f>SUMIFS('Product samples'!E:E, 'Product samples'!A:A, B172)</f>
        <v>0</v>
      </c>
      <c r="Q172" s="134">
        <f t="shared" si="98"/>
        <v>0</v>
      </c>
      <c r="R172" s="57" t="str">
        <f t="shared" si="92"/>
        <v/>
      </c>
      <c r="S172" s="135" t="str">
        <f t="shared" si="93"/>
        <v/>
      </c>
      <c r="T172" s="132" t="str">
        <f t="shared" si="99"/>
        <v/>
      </c>
      <c r="U172" s="32" t="str">
        <f t="shared" si="100"/>
        <v/>
      </c>
      <c r="V172" s="135" t="str">
        <f t="shared" si="101"/>
        <v/>
      </c>
      <c r="W172" s="136" t="str">
        <f t="shared" si="102"/>
        <v/>
      </c>
      <c r="X172" s="136" t="str">
        <f t="shared" si="103"/>
        <v/>
      </c>
      <c r="Y172" s="136" t="str">
        <f t="shared" si="94"/>
        <v/>
      </c>
      <c r="Z172" s="136" t="str">
        <f t="shared" si="95"/>
        <v/>
      </c>
      <c r="AA172" s="137" t="str">
        <f t="shared" si="104"/>
        <v/>
      </c>
      <c r="AB172" s="135" t="str">
        <f t="shared" si="105"/>
        <v/>
      </c>
      <c r="AC172" s="135" t="str">
        <f t="shared" si="106"/>
        <v/>
      </c>
      <c r="AD172" s="136" t="str">
        <f t="shared" si="107"/>
        <v/>
      </c>
      <c r="AE172" s="136" t="str">
        <f t="shared" si="108"/>
        <v/>
      </c>
      <c r="AF172" s="136" t="str">
        <f t="shared" si="96"/>
        <v/>
      </c>
      <c r="AG172" s="136" t="str">
        <f t="shared" si="97"/>
        <v/>
      </c>
      <c r="AH172" s="137" t="str">
        <f t="shared" si="109"/>
        <v/>
      </c>
      <c r="AI172" s="135" t="str">
        <f t="shared" si="110"/>
        <v/>
      </c>
      <c r="AJ172" s="135" t="str">
        <f t="shared" si="111"/>
        <v/>
      </c>
      <c r="AK172" s="31" t="str">
        <f t="shared" si="90"/>
        <v/>
      </c>
      <c r="AL172" s="31" t="str">
        <f t="shared" si="91"/>
        <v/>
      </c>
    </row>
    <row r="173" spans="4:38" x14ac:dyDescent="0.25">
      <c r="D173" s="5" t="str">
        <f>IFERROR(VLOOKUP(E173,'Chemical data ref sheet'!$A$1:$E$163,2,FALSE),"")</f>
        <v/>
      </c>
      <c r="E173" s="16"/>
      <c r="F173" s="5" t="str">
        <f>IFERROR(VLOOKUP(E173,'Chemical data ref sheet'!$A$1:$E$163,3,FALSE),"")</f>
        <v/>
      </c>
      <c r="G173" s="5"/>
      <c r="H173" s="5" t="str">
        <f>IFERROR(VLOOKUP(E173,'Chemical data ref sheet'!$A$1:$E$163,4,FALSE),"")</f>
        <v/>
      </c>
      <c r="I173" s="5" t="str">
        <f>IFERROR(VLOOKUP(E173,'Chemical data ref sheet'!$A$1:$E$163,5,FALSE),"")</f>
        <v/>
      </c>
      <c r="J173" s="7"/>
      <c r="K173" s="7"/>
      <c r="L173" s="290"/>
      <c r="M173" s="7"/>
      <c r="N173" s="7"/>
      <c r="O173" s="7"/>
      <c r="P173" s="133">
        <f>SUMIFS('Product samples'!E:E, 'Product samples'!A:A, B173)</f>
        <v>0</v>
      </c>
      <c r="Q173" s="134">
        <f t="shared" si="98"/>
        <v>0</v>
      </c>
      <c r="R173" s="57" t="str">
        <f t="shared" si="92"/>
        <v/>
      </c>
      <c r="S173" s="135" t="str">
        <f t="shared" si="93"/>
        <v/>
      </c>
      <c r="T173" s="132" t="str">
        <f t="shared" si="99"/>
        <v/>
      </c>
      <c r="U173" s="32" t="str">
        <f t="shared" si="100"/>
        <v/>
      </c>
      <c r="V173" s="135" t="str">
        <f t="shared" si="101"/>
        <v/>
      </c>
      <c r="W173" s="136" t="str">
        <f t="shared" si="102"/>
        <v/>
      </c>
      <c r="X173" s="136" t="str">
        <f t="shared" si="103"/>
        <v/>
      </c>
      <c r="Y173" s="136" t="str">
        <f t="shared" si="94"/>
        <v/>
      </c>
      <c r="Z173" s="136" t="str">
        <f t="shared" si="95"/>
        <v/>
      </c>
      <c r="AA173" s="137" t="str">
        <f t="shared" si="104"/>
        <v/>
      </c>
      <c r="AB173" s="135" t="str">
        <f t="shared" si="105"/>
        <v/>
      </c>
      <c r="AC173" s="135" t="str">
        <f t="shared" si="106"/>
        <v/>
      </c>
      <c r="AD173" s="136" t="str">
        <f t="shared" si="107"/>
        <v/>
      </c>
      <c r="AE173" s="136" t="str">
        <f t="shared" si="108"/>
        <v/>
      </c>
      <c r="AF173" s="136" t="str">
        <f t="shared" si="96"/>
        <v/>
      </c>
      <c r="AG173" s="136" t="str">
        <f t="shared" si="97"/>
        <v/>
      </c>
      <c r="AH173" s="137" t="str">
        <f t="shared" si="109"/>
        <v/>
      </c>
      <c r="AI173" s="135" t="str">
        <f t="shared" si="110"/>
        <v/>
      </c>
      <c r="AJ173" s="135" t="str">
        <f t="shared" si="111"/>
        <v/>
      </c>
      <c r="AK173" s="31" t="str">
        <f t="shared" ref="AK173:AK236" si="112">IFERROR(IF(B173&lt;&gt;"",AH173-Q173,""),"")</f>
        <v/>
      </c>
      <c r="AL173" s="31" t="str">
        <f t="shared" ref="AL173:AL236" si="113">IFERROR(IF(B173&lt;&gt;"",AI173-(P173/1000),""),"")</f>
        <v/>
      </c>
    </row>
    <row r="174" spans="4:38" x14ac:dyDescent="0.25">
      <c r="D174" s="5" t="str">
        <f>IFERROR(VLOOKUP(E174,'Chemical data ref sheet'!$A$1:$E$163,2,FALSE),"")</f>
        <v/>
      </c>
      <c r="E174" s="16"/>
      <c r="F174" s="5" t="str">
        <f>IFERROR(VLOOKUP(E174,'Chemical data ref sheet'!$A$1:$E$163,3,FALSE),"")</f>
        <v/>
      </c>
      <c r="G174" s="5"/>
      <c r="H174" s="5" t="str">
        <f>IFERROR(VLOOKUP(E174,'Chemical data ref sheet'!$A$1:$E$163,4,FALSE),"")</f>
        <v/>
      </c>
      <c r="I174" s="5" t="str">
        <f>IFERROR(VLOOKUP(E174,'Chemical data ref sheet'!$A$1:$E$163,5,FALSE),"")</f>
        <v/>
      </c>
      <c r="J174" s="7"/>
      <c r="K174" s="7"/>
      <c r="L174" s="290"/>
      <c r="M174" s="7"/>
      <c r="N174" s="7"/>
      <c r="O174" s="7"/>
      <c r="P174" s="133">
        <f>SUMIFS('Product samples'!E:E, 'Product samples'!A:A, B174)</f>
        <v>0</v>
      </c>
      <c r="Q174" s="134">
        <f t="shared" si="98"/>
        <v>0</v>
      </c>
      <c r="R174" s="57" t="str">
        <f t="shared" si="92"/>
        <v/>
      </c>
      <c r="S174" s="135" t="str">
        <f t="shared" si="93"/>
        <v/>
      </c>
      <c r="T174" s="132" t="str">
        <f t="shared" si="99"/>
        <v/>
      </c>
      <c r="U174" s="32" t="str">
        <f t="shared" si="100"/>
        <v/>
      </c>
      <c r="V174" s="135" t="str">
        <f t="shared" si="101"/>
        <v/>
      </c>
      <c r="W174" s="136" t="str">
        <f t="shared" si="102"/>
        <v/>
      </c>
      <c r="X174" s="136" t="str">
        <f t="shared" si="103"/>
        <v/>
      </c>
      <c r="Y174" s="136" t="str">
        <f t="shared" si="94"/>
        <v/>
      </c>
      <c r="Z174" s="136" t="str">
        <f t="shared" si="95"/>
        <v/>
      </c>
      <c r="AA174" s="137" t="str">
        <f t="shared" si="104"/>
        <v/>
      </c>
      <c r="AB174" s="135" t="str">
        <f t="shared" si="105"/>
        <v/>
      </c>
      <c r="AC174" s="135" t="str">
        <f t="shared" si="106"/>
        <v/>
      </c>
      <c r="AD174" s="136" t="str">
        <f t="shared" si="107"/>
        <v/>
      </c>
      <c r="AE174" s="136" t="str">
        <f t="shared" si="108"/>
        <v/>
      </c>
      <c r="AF174" s="136" t="str">
        <f t="shared" si="96"/>
        <v/>
      </c>
      <c r="AG174" s="136" t="str">
        <f t="shared" si="97"/>
        <v/>
      </c>
      <c r="AH174" s="137" t="str">
        <f t="shared" si="109"/>
        <v/>
      </c>
      <c r="AI174" s="135" t="str">
        <f t="shared" si="110"/>
        <v/>
      </c>
      <c r="AJ174" s="135" t="str">
        <f t="shared" si="111"/>
        <v/>
      </c>
      <c r="AK174" s="31" t="str">
        <f t="shared" si="112"/>
        <v/>
      </c>
      <c r="AL174" s="31" t="str">
        <f t="shared" si="113"/>
        <v/>
      </c>
    </row>
    <row r="175" spans="4:38" x14ac:dyDescent="0.25">
      <c r="D175" s="5" t="str">
        <f>IFERROR(VLOOKUP(E175,'Chemical data ref sheet'!$A$1:$E$163,2,FALSE),"")</f>
        <v/>
      </c>
      <c r="E175" s="16"/>
      <c r="F175" s="5" t="str">
        <f>IFERROR(VLOOKUP(E175,'Chemical data ref sheet'!$A$1:$E$163,3,FALSE),"")</f>
        <v/>
      </c>
      <c r="G175" s="5"/>
      <c r="H175" s="5" t="str">
        <f>IFERROR(VLOOKUP(E175,'Chemical data ref sheet'!$A$1:$E$163,4,FALSE),"")</f>
        <v/>
      </c>
      <c r="I175" s="5" t="str">
        <f>IFERROR(VLOOKUP(E175,'Chemical data ref sheet'!$A$1:$E$163,5,FALSE),"")</f>
        <v/>
      </c>
      <c r="J175" s="7"/>
      <c r="K175" s="7"/>
      <c r="L175" s="290"/>
      <c r="M175" s="7"/>
      <c r="N175" s="7"/>
      <c r="O175" s="7"/>
      <c r="P175" s="133">
        <f>SUMIFS('Product samples'!E:E, 'Product samples'!A:A, B175)</f>
        <v>0</v>
      </c>
      <c r="Q175" s="134">
        <f t="shared" si="98"/>
        <v>0</v>
      </c>
      <c r="R175" s="57" t="str">
        <f t="shared" si="92"/>
        <v/>
      </c>
      <c r="S175" s="135" t="str">
        <f t="shared" si="93"/>
        <v/>
      </c>
      <c r="T175" s="132" t="str">
        <f t="shared" si="99"/>
        <v/>
      </c>
      <c r="U175" s="32" t="str">
        <f t="shared" si="100"/>
        <v/>
      </c>
      <c r="V175" s="135" t="str">
        <f t="shared" si="101"/>
        <v/>
      </c>
      <c r="W175" s="136" t="str">
        <f t="shared" si="102"/>
        <v/>
      </c>
      <c r="X175" s="136" t="str">
        <f t="shared" si="103"/>
        <v/>
      </c>
      <c r="Y175" s="136" t="str">
        <f t="shared" si="94"/>
        <v/>
      </c>
      <c r="Z175" s="136" t="str">
        <f t="shared" si="95"/>
        <v/>
      </c>
      <c r="AA175" s="137" t="str">
        <f t="shared" si="104"/>
        <v/>
      </c>
      <c r="AB175" s="135" t="str">
        <f t="shared" si="105"/>
        <v/>
      </c>
      <c r="AC175" s="135" t="str">
        <f t="shared" si="106"/>
        <v/>
      </c>
      <c r="AD175" s="136" t="str">
        <f t="shared" si="107"/>
        <v/>
      </c>
      <c r="AE175" s="136" t="str">
        <f t="shared" si="108"/>
        <v/>
      </c>
      <c r="AF175" s="136" t="str">
        <f t="shared" si="96"/>
        <v/>
      </c>
      <c r="AG175" s="136" t="str">
        <f t="shared" si="97"/>
        <v/>
      </c>
      <c r="AH175" s="137" t="str">
        <f t="shared" si="109"/>
        <v/>
      </c>
      <c r="AI175" s="135" t="str">
        <f t="shared" si="110"/>
        <v/>
      </c>
      <c r="AJ175" s="135" t="str">
        <f t="shared" si="111"/>
        <v/>
      </c>
      <c r="AK175" s="31" t="str">
        <f t="shared" si="112"/>
        <v/>
      </c>
      <c r="AL175" s="31" t="str">
        <f t="shared" si="113"/>
        <v/>
      </c>
    </row>
    <row r="176" spans="4:38" x14ac:dyDescent="0.25">
      <c r="D176" s="5" t="str">
        <f>IFERROR(VLOOKUP(E176,'Chemical data ref sheet'!$A$1:$E$163,2,FALSE),"")</f>
        <v/>
      </c>
      <c r="E176" s="16"/>
      <c r="F176" s="5" t="str">
        <f>IFERROR(VLOOKUP(E176,'Chemical data ref sheet'!$A$1:$E$163,3,FALSE),"")</f>
        <v/>
      </c>
      <c r="G176" s="5"/>
      <c r="H176" s="5" t="str">
        <f>IFERROR(VLOOKUP(E176,'Chemical data ref sheet'!$A$1:$E$163,4,FALSE),"")</f>
        <v/>
      </c>
      <c r="I176" s="5" t="str">
        <f>IFERROR(VLOOKUP(E176,'Chemical data ref sheet'!$A$1:$E$163,5,FALSE),"")</f>
        <v/>
      </c>
      <c r="J176" s="7"/>
      <c r="K176" s="7"/>
      <c r="L176" s="290"/>
      <c r="M176" s="7"/>
      <c r="N176" s="7"/>
      <c r="O176" s="7"/>
      <c r="P176" s="133">
        <f>SUMIFS('Product samples'!E:E, 'Product samples'!A:A, B176)</f>
        <v>0</v>
      </c>
      <c r="Q176" s="134">
        <f t="shared" si="98"/>
        <v>0</v>
      </c>
      <c r="R176" s="57" t="str">
        <f t="shared" si="92"/>
        <v/>
      </c>
      <c r="S176" s="135" t="str">
        <f t="shared" si="93"/>
        <v/>
      </c>
      <c r="T176" s="132" t="str">
        <f t="shared" si="99"/>
        <v/>
      </c>
      <c r="U176" s="32" t="str">
        <f t="shared" si="100"/>
        <v/>
      </c>
      <c r="V176" s="135" t="str">
        <f t="shared" si="101"/>
        <v/>
      </c>
      <c r="W176" s="136" t="str">
        <f t="shared" si="102"/>
        <v/>
      </c>
      <c r="X176" s="136" t="str">
        <f t="shared" si="103"/>
        <v/>
      </c>
      <c r="Y176" s="136" t="str">
        <f t="shared" si="94"/>
        <v/>
      </c>
      <c r="Z176" s="136" t="str">
        <f t="shared" si="95"/>
        <v/>
      </c>
      <c r="AA176" s="137" t="str">
        <f t="shared" si="104"/>
        <v/>
      </c>
      <c r="AB176" s="135" t="str">
        <f t="shared" si="105"/>
        <v/>
      </c>
      <c r="AC176" s="135" t="str">
        <f t="shared" si="106"/>
        <v/>
      </c>
      <c r="AD176" s="136" t="str">
        <f t="shared" si="107"/>
        <v/>
      </c>
      <c r="AE176" s="136" t="str">
        <f t="shared" si="108"/>
        <v/>
      </c>
      <c r="AF176" s="136" t="str">
        <f t="shared" si="96"/>
        <v/>
      </c>
      <c r="AG176" s="136" t="str">
        <f t="shared" si="97"/>
        <v/>
      </c>
      <c r="AH176" s="137" t="str">
        <f t="shared" si="109"/>
        <v/>
      </c>
      <c r="AI176" s="135" t="str">
        <f t="shared" si="110"/>
        <v/>
      </c>
      <c r="AJ176" s="135" t="str">
        <f t="shared" si="111"/>
        <v/>
      </c>
      <c r="AK176" s="31" t="str">
        <f t="shared" si="112"/>
        <v/>
      </c>
      <c r="AL176" s="31" t="str">
        <f t="shared" si="113"/>
        <v/>
      </c>
    </row>
    <row r="177" spans="4:38" x14ac:dyDescent="0.25">
      <c r="D177" s="5" t="str">
        <f>IFERROR(VLOOKUP(E177,'Chemical data ref sheet'!$A$1:$E$163,2,FALSE),"")</f>
        <v/>
      </c>
      <c r="E177" s="16"/>
      <c r="F177" s="5" t="str">
        <f>IFERROR(VLOOKUP(E177,'Chemical data ref sheet'!$A$1:$E$163,3,FALSE),"")</f>
        <v/>
      </c>
      <c r="G177" s="5"/>
      <c r="H177" s="5" t="str">
        <f>IFERROR(VLOOKUP(E177,'Chemical data ref sheet'!$A$1:$E$163,4,FALSE),"")</f>
        <v/>
      </c>
      <c r="I177" s="5" t="str">
        <f>IFERROR(VLOOKUP(E177,'Chemical data ref sheet'!$A$1:$E$163,5,FALSE),"")</f>
        <v/>
      </c>
      <c r="J177" s="7"/>
      <c r="K177" s="7"/>
      <c r="L177" s="290"/>
      <c r="M177" s="7"/>
      <c r="N177" s="7"/>
      <c r="O177" s="7"/>
      <c r="P177" s="133">
        <f>SUMIFS('Product samples'!E:E, 'Product samples'!A:A, B177)</f>
        <v>0</v>
      </c>
      <c r="Q177" s="134">
        <f t="shared" si="98"/>
        <v>0</v>
      </c>
      <c r="R177" s="57" t="str">
        <f t="shared" si="92"/>
        <v/>
      </c>
      <c r="S177" s="135" t="str">
        <f t="shared" si="93"/>
        <v/>
      </c>
      <c r="T177" s="132" t="str">
        <f t="shared" si="99"/>
        <v/>
      </c>
      <c r="U177" s="32" t="str">
        <f t="shared" si="100"/>
        <v/>
      </c>
      <c r="V177" s="135" t="str">
        <f t="shared" si="101"/>
        <v/>
      </c>
      <c r="W177" s="136" t="str">
        <f t="shared" si="102"/>
        <v/>
      </c>
      <c r="X177" s="136" t="str">
        <f t="shared" si="103"/>
        <v/>
      </c>
      <c r="Y177" s="136" t="str">
        <f t="shared" si="94"/>
        <v/>
      </c>
      <c r="Z177" s="136" t="str">
        <f t="shared" si="95"/>
        <v/>
      </c>
      <c r="AA177" s="137" t="str">
        <f t="shared" si="104"/>
        <v/>
      </c>
      <c r="AB177" s="135" t="str">
        <f t="shared" si="105"/>
        <v/>
      </c>
      <c r="AC177" s="135" t="str">
        <f t="shared" si="106"/>
        <v/>
      </c>
      <c r="AD177" s="136" t="str">
        <f t="shared" si="107"/>
        <v/>
      </c>
      <c r="AE177" s="136" t="str">
        <f t="shared" si="108"/>
        <v/>
      </c>
      <c r="AF177" s="136" t="str">
        <f t="shared" si="96"/>
        <v/>
      </c>
      <c r="AG177" s="136" t="str">
        <f t="shared" si="97"/>
        <v/>
      </c>
      <c r="AH177" s="137" t="str">
        <f t="shared" si="109"/>
        <v/>
      </c>
      <c r="AI177" s="135" t="str">
        <f t="shared" si="110"/>
        <v/>
      </c>
      <c r="AJ177" s="135" t="str">
        <f t="shared" si="111"/>
        <v/>
      </c>
      <c r="AK177" s="31" t="str">
        <f t="shared" si="112"/>
        <v/>
      </c>
      <c r="AL177" s="31" t="str">
        <f t="shared" si="113"/>
        <v/>
      </c>
    </row>
    <row r="178" spans="4:38" x14ac:dyDescent="0.25">
      <c r="D178" s="5" t="str">
        <f>IFERROR(VLOOKUP(E178,'Chemical data ref sheet'!$A$1:$E$163,2,FALSE),"")</f>
        <v/>
      </c>
      <c r="E178" s="16"/>
      <c r="F178" s="5" t="str">
        <f>IFERROR(VLOOKUP(E178,'Chemical data ref sheet'!$A$1:$E$163,3,FALSE),"")</f>
        <v/>
      </c>
      <c r="G178" s="5"/>
      <c r="H178" s="5" t="str">
        <f>IFERROR(VLOOKUP(E178,'Chemical data ref sheet'!$A$1:$E$163,4,FALSE),"")</f>
        <v/>
      </c>
      <c r="I178" s="5" t="str">
        <f>IFERROR(VLOOKUP(E178,'Chemical data ref sheet'!$A$1:$E$163,5,FALSE),"")</f>
        <v/>
      </c>
      <c r="J178" s="7"/>
      <c r="K178" s="7"/>
      <c r="L178" s="290"/>
      <c r="M178" s="7"/>
      <c r="N178" s="7"/>
      <c r="O178" s="7"/>
      <c r="P178" s="133">
        <f>SUMIFS('Product samples'!E:E, 'Product samples'!A:A, B178)</f>
        <v>0</v>
      </c>
      <c r="Q178" s="134">
        <f t="shared" si="98"/>
        <v>0</v>
      </c>
      <c r="R178" s="57" t="str">
        <f t="shared" si="92"/>
        <v/>
      </c>
      <c r="S178" s="135" t="str">
        <f t="shared" si="93"/>
        <v/>
      </c>
      <c r="T178" s="132" t="str">
        <f t="shared" si="99"/>
        <v/>
      </c>
      <c r="U178" s="32" t="str">
        <f t="shared" si="100"/>
        <v/>
      </c>
      <c r="V178" s="135" t="str">
        <f t="shared" si="101"/>
        <v/>
      </c>
      <c r="W178" s="136" t="str">
        <f t="shared" si="102"/>
        <v/>
      </c>
      <c r="X178" s="136" t="str">
        <f t="shared" si="103"/>
        <v/>
      </c>
      <c r="Y178" s="136" t="str">
        <f t="shared" si="94"/>
        <v/>
      </c>
      <c r="Z178" s="136" t="str">
        <f t="shared" si="95"/>
        <v/>
      </c>
      <c r="AA178" s="137" t="str">
        <f t="shared" si="104"/>
        <v/>
      </c>
      <c r="AB178" s="135" t="str">
        <f t="shared" si="105"/>
        <v/>
      </c>
      <c r="AC178" s="135" t="str">
        <f t="shared" si="106"/>
        <v/>
      </c>
      <c r="AD178" s="136" t="str">
        <f t="shared" si="107"/>
        <v/>
      </c>
      <c r="AE178" s="136" t="str">
        <f t="shared" si="108"/>
        <v/>
      </c>
      <c r="AF178" s="136" t="str">
        <f t="shared" si="96"/>
        <v/>
      </c>
      <c r="AG178" s="136" t="str">
        <f t="shared" si="97"/>
        <v/>
      </c>
      <c r="AH178" s="137" t="str">
        <f t="shared" si="109"/>
        <v/>
      </c>
      <c r="AI178" s="135" t="str">
        <f t="shared" si="110"/>
        <v/>
      </c>
      <c r="AJ178" s="135" t="str">
        <f t="shared" si="111"/>
        <v/>
      </c>
      <c r="AK178" s="31" t="str">
        <f t="shared" si="112"/>
        <v/>
      </c>
      <c r="AL178" s="31" t="str">
        <f t="shared" si="113"/>
        <v/>
      </c>
    </row>
    <row r="179" spans="4:38" x14ac:dyDescent="0.25">
      <c r="D179" s="5" t="str">
        <f>IFERROR(VLOOKUP(E179,'Chemical data ref sheet'!$A$1:$E$163,2,FALSE),"")</f>
        <v/>
      </c>
      <c r="E179" s="16"/>
      <c r="F179" s="5" t="str">
        <f>IFERROR(VLOOKUP(E179,'Chemical data ref sheet'!$A$1:$E$163,3,FALSE),"")</f>
        <v/>
      </c>
      <c r="G179" s="5"/>
      <c r="H179" s="5" t="str">
        <f>IFERROR(VLOOKUP(E179,'Chemical data ref sheet'!$A$1:$E$163,4,FALSE),"")</f>
        <v/>
      </c>
      <c r="I179" s="5" t="str">
        <f>IFERROR(VLOOKUP(E179,'Chemical data ref sheet'!$A$1:$E$163,5,FALSE),"")</f>
        <v/>
      </c>
      <c r="J179" s="7"/>
      <c r="K179" s="7"/>
      <c r="L179" s="290"/>
      <c r="M179" s="7"/>
      <c r="N179" s="7"/>
      <c r="O179" s="7"/>
      <c r="P179" s="133">
        <f>SUMIFS('Product samples'!E:E, 'Product samples'!A:A, B179)</f>
        <v>0</v>
      </c>
      <c r="Q179" s="134">
        <f t="shared" si="98"/>
        <v>0</v>
      </c>
      <c r="R179" s="57" t="str">
        <f t="shared" si="92"/>
        <v/>
      </c>
      <c r="S179" s="135" t="str">
        <f t="shared" si="93"/>
        <v/>
      </c>
      <c r="T179" s="132" t="str">
        <f t="shared" si="99"/>
        <v/>
      </c>
      <c r="U179" s="32" t="str">
        <f t="shared" si="100"/>
        <v/>
      </c>
      <c r="V179" s="135" t="str">
        <f t="shared" si="101"/>
        <v/>
      </c>
      <c r="W179" s="136" t="str">
        <f t="shared" si="102"/>
        <v/>
      </c>
      <c r="X179" s="136" t="str">
        <f t="shared" si="103"/>
        <v/>
      </c>
      <c r="Y179" s="136" t="str">
        <f t="shared" si="94"/>
        <v/>
      </c>
      <c r="Z179" s="136" t="str">
        <f t="shared" si="95"/>
        <v/>
      </c>
      <c r="AA179" s="137" t="str">
        <f t="shared" si="104"/>
        <v/>
      </c>
      <c r="AB179" s="135" t="str">
        <f t="shared" si="105"/>
        <v/>
      </c>
      <c r="AC179" s="135" t="str">
        <f t="shared" si="106"/>
        <v/>
      </c>
      <c r="AD179" s="136" t="str">
        <f t="shared" si="107"/>
        <v/>
      </c>
      <c r="AE179" s="136" t="str">
        <f t="shared" si="108"/>
        <v/>
      </c>
      <c r="AF179" s="136" t="str">
        <f t="shared" si="96"/>
        <v/>
      </c>
      <c r="AG179" s="136" t="str">
        <f t="shared" si="97"/>
        <v/>
      </c>
      <c r="AH179" s="137" t="str">
        <f t="shared" si="109"/>
        <v/>
      </c>
      <c r="AI179" s="135" t="str">
        <f t="shared" si="110"/>
        <v/>
      </c>
      <c r="AJ179" s="135" t="str">
        <f t="shared" si="111"/>
        <v/>
      </c>
      <c r="AK179" s="31" t="str">
        <f t="shared" si="112"/>
        <v/>
      </c>
      <c r="AL179" s="31" t="str">
        <f t="shared" si="113"/>
        <v/>
      </c>
    </row>
    <row r="180" spans="4:38" x14ac:dyDescent="0.25">
      <c r="D180" s="5" t="str">
        <f>IFERROR(VLOOKUP(E180,'Chemical data ref sheet'!$A$1:$E$163,2,FALSE),"")</f>
        <v/>
      </c>
      <c r="E180" s="16"/>
      <c r="F180" s="5" t="str">
        <f>IFERROR(VLOOKUP(E180,'Chemical data ref sheet'!$A$1:$E$163,3,FALSE),"")</f>
        <v/>
      </c>
      <c r="G180" s="5"/>
      <c r="H180" s="5" t="str">
        <f>IFERROR(VLOOKUP(E180,'Chemical data ref sheet'!$A$1:$E$163,4,FALSE),"")</f>
        <v/>
      </c>
      <c r="I180" s="5" t="str">
        <f>IFERROR(VLOOKUP(E180,'Chemical data ref sheet'!$A$1:$E$163,5,FALSE),"")</f>
        <v/>
      </c>
      <c r="J180" s="7"/>
      <c r="K180" s="7"/>
      <c r="L180" s="290"/>
      <c r="M180" s="7"/>
      <c r="N180" s="7"/>
      <c r="O180" s="7"/>
      <c r="P180" s="133">
        <f>SUMIFS('Product samples'!E:E, 'Product samples'!A:A, B180)</f>
        <v>0</v>
      </c>
      <c r="Q180" s="134">
        <f t="shared" si="98"/>
        <v>0</v>
      </c>
      <c r="R180" s="57" t="str">
        <f t="shared" si="92"/>
        <v/>
      </c>
      <c r="S180" s="135" t="str">
        <f t="shared" si="93"/>
        <v/>
      </c>
      <c r="T180" s="132" t="str">
        <f t="shared" si="99"/>
        <v/>
      </c>
      <c r="U180" s="32" t="str">
        <f t="shared" si="100"/>
        <v/>
      </c>
      <c r="V180" s="135" t="str">
        <f t="shared" si="101"/>
        <v/>
      </c>
      <c r="W180" s="136" t="str">
        <f t="shared" si="102"/>
        <v/>
      </c>
      <c r="X180" s="136" t="str">
        <f t="shared" si="103"/>
        <v/>
      </c>
      <c r="Y180" s="136" t="str">
        <f t="shared" si="94"/>
        <v/>
      </c>
      <c r="Z180" s="136" t="str">
        <f t="shared" si="95"/>
        <v/>
      </c>
      <c r="AA180" s="137" t="str">
        <f t="shared" si="104"/>
        <v/>
      </c>
      <c r="AB180" s="135" t="str">
        <f t="shared" si="105"/>
        <v/>
      </c>
      <c r="AC180" s="135" t="str">
        <f t="shared" si="106"/>
        <v/>
      </c>
      <c r="AD180" s="136" t="str">
        <f t="shared" si="107"/>
        <v/>
      </c>
      <c r="AE180" s="136" t="str">
        <f t="shared" si="108"/>
        <v/>
      </c>
      <c r="AF180" s="136" t="str">
        <f t="shared" si="96"/>
        <v/>
      </c>
      <c r="AG180" s="136" t="str">
        <f t="shared" si="97"/>
        <v/>
      </c>
      <c r="AH180" s="137" t="str">
        <f t="shared" si="109"/>
        <v/>
      </c>
      <c r="AI180" s="135" t="str">
        <f t="shared" si="110"/>
        <v/>
      </c>
      <c r="AJ180" s="135" t="str">
        <f t="shared" si="111"/>
        <v/>
      </c>
      <c r="AK180" s="31" t="str">
        <f t="shared" si="112"/>
        <v/>
      </c>
      <c r="AL180" s="31" t="str">
        <f t="shared" si="113"/>
        <v/>
      </c>
    </row>
    <row r="181" spans="4:38" x14ac:dyDescent="0.25">
      <c r="D181" s="5" t="str">
        <f>IFERROR(VLOOKUP(E181,'Chemical data ref sheet'!$A$1:$E$163,2,FALSE),"")</f>
        <v/>
      </c>
      <c r="E181" s="16"/>
      <c r="F181" s="5" t="str">
        <f>IFERROR(VLOOKUP(E181,'Chemical data ref sheet'!$A$1:$E$163,3,FALSE),"")</f>
        <v/>
      </c>
      <c r="G181" s="5"/>
      <c r="H181" s="5" t="str">
        <f>IFERROR(VLOOKUP(E181,'Chemical data ref sheet'!$A$1:$E$163,4,FALSE),"")</f>
        <v/>
      </c>
      <c r="I181" s="5" t="str">
        <f>IFERROR(VLOOKUP(E181,'Chemical data ref sheet'!$A$1:$E$163,5,FALSE),"")</f>
        <v/>
      </c>
      <c r="J181" s="7"/>
      <c r="K181" s="7"/>
      <c r="L181" s="290"/>
      <c r="M181" s="7"/>
      <c r="N181" s="7"/>
      <c r="O181" s="7"/>
      <c r="P181" s="133">
        <f>SUMIFS('Product samples'!E:E, 'Product samples'!A:A, B181)</f>
        <v>0</v>
      </c>
      <c r="Q181" s="134">
        <f t="shared" si="98"/>
        <v>0</v>
      </c>
      <c r="R181" s="57" t="str">
        <f t="shared" si="92"/>
        <v/>
      </c>
      <c r="S181" s="135" t="str">
        <f t="shared" si="93"/>
        <v/>
      </c>
      <c r="T181" s="132" t="str">
        <f t="shared" si="99"/>
        <v/>
      </c>
      <c r="U181" s="32" t="str">
        <f t="shared" si="100"/>
        <v/>
      </c>
      <c r="V181" s="135" t="str">
        <f t="shared" si="101"/>
        <v/>
      </c>
      <c r="W181" s="136" t="str">
        <f t="shared" si="102"/>
        <v/>
      </c>
      <c r="X181" s="136" t="str">
        <f t="shared" si="103"/>
        <v/>
      </c>
      <c r="Y181" s="136" t="str">
        <f t="shared" si="94"/>
        <v/>
      </c>
      <c r="Z181" s="136" t="str">
        <f t="shared" si="95"/>
        <v/>
      </c>
      <c r="AA181" s="137" t="str">
        <f t="shared" si="104"/>
        <v/>
      </c>
      <c r="AB181" s="135" t="str">
        <f t="shared" si="105"/>
        <v/>
      </c>
      <c r="AC181" s="135" t="str">
        <f t="shared" si="106"/>
        <v/>
      </c>
      <c r="AD181" s="136" t="str">
        <f t="shared" si="107"/>
        <v/>
      </c>
      <c r="AE181" s="136" t="str">
        <f t="shared" si="108"/>
        <v/>
      </c>
      <c r="AF181" s="136" t="str">
        <f t="shared" si="96"/>
        <v/>
      </c>
      <c r="AG181" s="136" t="str">
        <f t="shared" si="97"/>
        <v/>
      </c>
      <c r="AH181" s="137" t="str">
        <f t="shared" si="109"/>
        <v/>
      </c>
      <c r="AI181" s="135" t="str">
        <f t="shared" si="110"/>
        <v/>
      </c>
      <c r="AJ181" s="135" t="str">
        <f t="shared" si="111"/>
        <v/>
      </c>
      <c r="AK181" s="31" t="str">
        <f t="shared" si="112"/>
        <v/>
      </c>
      <c r="AL181" s="31" t="str">
        <f t="shared" si="113"/>
        <v/>
      </c>
    </row>
    <row r="182" spans="4:38" x14ac:dyDescent="0.25">
      <c r="D182" s="5" t="str">
        <f>IFERROR(VLOOKUP(E182,'Chemical data ref sheet'!$A$1:$E$163,2,FALSE),"")</f>
        <v/>
      </c>
      <c r="E182" s="16"/>
      <c r="F182" s="5" t="str">
        <f>IFERROR(VLOOKUP(E182,'Chemical data ref sheet'!$A$1:$E$163,3,FALSE),"")</f>
        <v/>
      </c>
      <c r="G182" s="5"/>
      <c r="H182" s="5" t="str">
        <f>IFERROR(VLOOKUP(E182,'Chemical data ref sheet'!$A$1:$E$163,4,FALSE),"")</f>
        <v/>
      </c>
      <c r="I182" s="5" t="str">
        <f>IFERROR(VLOOKUP(E182,'Chemical data ref sheet'!$A$1:$E$163,5,FALSE),"")</f>
        <v/>
      </c>
      <c r="J182" s="7"/>
      <c r="K182" s="7"/>
      <c r="L182" s="290"/>
      <c r="M182" s="7"/>
      <c r="N182" s="7"/>
      <c r="O182" s="7"/>
      <c r="P182" s="133">
        <f>SUMIFS('Product samples'!E:E, 'Product samples'!A:A, B182)</f>
        <v>0</v>
      </c>
      <c r="Q182" s="134">
        <f t="shared" si="98"/>
        <v>0</v>
      </c>
      <c r="R182" s="57" t="str">
        <f t="shared" si="92"/>
        <v/>
      </c>
      <c r="S182" s="135" t="str">
        <f t="shared" si="93"/>
        <v/>
      </c>
      <c r="T182" s="132" t="str">
        <f t="shared" si="99"/>
        <v/>
      </c>
      <c r="U182" s="32" t="str">
        <f t="shared" si="100"/>
        <v/>
      </c>
      <c r="V182" s="135" t="str">
        <f t="shared" si="101"/>
        <v/>
      </c>
      <c r="W182" s="136" t="str">
        <f t="shared" si="102"/>
        <v/>
      </c>
      <c r="X182" s="136" t="str">
        <f t="shared" si="103"/>
        <v/>
      </c>
      <c r="Y182" s="136" t="str">
        <f t="shared" si="94"/>
        <v/>
      </c>
      <c r="Z182" s="136" t="str">
        <f t="shared" si="95"/>
        <v/>
      </c>
      <c r="AA182" s="137" t="str">
        <f t="shared" si="104"/>
        <v/>
      </c>
      <c r="AB182" s="135" t="str">
        <f t="shared" si="105"/>
        <v/>
      </c>
      <c r="AC182" s="135" t="str">
        <f t="shared" si="106"/>
        <v/>
      </c>
      <c r="AD182" s="136" t="str">
        <f t="shared" si="107"/>
        <v/>
      </c>
      <c r="AE182" s="136" t="str">
        <f t="shared" si="108"/>
        <v/>
      </c>
      <c r="AF182" s="136" t="str">
        <f t="shared" si="96"/>
        <v/>
      </c>
      <c r="AG182" s="136" t="str">
        <f t="shared" si="97"/>
        <v/>
      </c>
      <c r="AH182" s="137" t="str">
        <f t="shared" si="109"/>
        <v/>
      </c>
      <c r="AI182" s="135" t="str">
        <f t="shared" si="110"/>
        <v/>
      </c>
      <c r="AJ182" s="135" t="str">
        <f t="shared" si="111"/>
        <v/>
      </c>
      <c r="AK182" s="31" t="str">
        <f t="shared" si="112"/>
        <v/>
      </c>
      <c r="AL182" s="31" t="str">
        <f t="shared" si="113"/>
        <v/>
      </c>
    </row>
    <row r="183" spans="4:38" x14ac:dyDescent="0.25">
      <c r="D183" s="5" t="str">
        <f>IFERROR(VLOOKUP(E183,'Chemical data ref sheet'!$A$1:$E$163,2,FALSE),"")</f>
        <v/>
      </c>
      <c r="E183" s="16"/>
      <c r="F183" s="5" t="str">
        <f>IFERROR(VLOOKUP(E183,'Chemical data ref sheet'!$A$1:$E$163,3,FALSE),"")</f>
        <v/>
      </c>
      <c r="G183" s="5"/>
      <c r="H183" s="5" t="str">
        <f>IFERROR(VLOOKUP(E183,'Chemical data ref sheet'!$A$1:$E$163,4,FALSE),"")</f>
        <v/>
      </c>
      <c r="I183" s="5" t="str">
        <f>IFERROR(VLOOKUP(E183,'Chemical data ref sheet'!$A$1:$E$163,5,FALSE),"")</f>
        <v/>
      </c>
      <c r="J183" s="7"/>
      <c r="K183" s="7"/>
      <c r="L183" s="290"/>
      <c r="M183" s="7"/>
      <c r="N183" s="7"/>
      <c r="O183" s="7"/>
      <c r="P183" s="133">
        <f>SUMIFS('Product samples'!E:E, 'Product samples'!A:A, B183)</f>
        <v>0</v>
      </c>
      <c r="Q183" s="134">
        <f t="shared" si="98"/>
        <v>0</v>
      </c>
      <c r="R183" s="57" t="str">
        <f t="shared" si="92"/>
        <v/>
      </c>
      <c r="S183" s="135" t="str">
        <f t="shared" si="93"/>
        <v/>
      </c>
      <c r="T183" s="132" t="str">
        <f t="shared" si="99"/>
        <v/>
      </c>
      <c r="U183" s="32" t="str">
        <f t="shared" si="100"/>
        <v/>
      </c>
      <c r="V183" s="135" t="str">
        <f t="shared" si="101"/>
        <v/>
      </c>
      <c r="W183" s="136" t="str">
        <f t="shared" si="102"/>
        <v/>
      </c>
      <c r="X183" s="136" t="str">
        <f t="shared" si="103"/>
        <v/>
      </c>
      <c r="Y183" s="136" t="str">
        <f t="shared" si="94"/>
        <v/>
      </c>
      <c r="Z183" s="136" t="str">
        <f t="shared" si="95"/>
        <v/>
      </c>
      <c r="AA183" s="137" t="str">
        <f t="shared" si="104"/>
        <v/>
      </c>
      <c r="AB183" s="135" t="str">
        <f t="shared" si="105"/>
        <v/>
      </c>
      <c r="AC183" s="135" t="str">
        <f t="shared" si="106"/>
        <v/>
      </c>
      <c r="AD183" s="136" t="str">
        <f t="shared" si="107"/>
        <v/>
      </c>
      <c r="AE183" s="136" t="str">
        <f t="shared" si="108"/>
        <v/>
      </c>
      <c r="AF183" s="136" t="str">
        <f t="shared" si="96"/>
        <v/>
      </c>
      <c r="AG183" s="136" t="str">
        <f t="shared" si="97"/>
        <v/>
      </c>
      <c r="AH183" s="137" t="str">
        <f t="shared" si="109"/>
        <v/>
      </c>
      <c r="AI183" s="135" t="str">
        <f t="shared" si="110"/>
        <v/>
      </c>
      <c r="AJ183" s="135" t="str">
        <f t="shared" si="111"/>
        <v/>
      </c>
      <c r="AK183" s="31" t="str">
        <f t="shared" si="112"/>
        <v/>
      </c>
      <c r="AL183" s="31" t="str">
        <f t="shared" si="113"/>
        <v/>
      </c>
    </row>
    <row r="184" spans="4:38" x14ac:dyDescent="0.25">
      <c r="D184" s="5" t="str">
        <f>IFERROR(VLOOKUP(E184,'Chemical data ref sheet'!$A$1:$E$163,2,FALSE),"")</f>
        <v/>
      </c>
      <c r="E184" s="16"/>
      <c r="F184" s="5" t="str">
        <f>IFERROR(VLOOKUP(E184,'Chemical data ref sheet'!$A$1:$E$163,3,FALSE),"")</f>
        <v/>
      </c>
      <c r="G184" s="5"/>
      <c r="H184" s="5" t="str">
        <f>IFERROR(VLOOKUP(E184,'Chemical data ref sheet'!$A$1:$E$163,4,FALSE),"")</f>
        <v/>
      </c>
      <c r="I184" s="5" t="str">
        <f>IFERROR(VLOOKUP(E184,'Chemical data ref sheet'!$A$1:$E$163,5,FALSE),"")</f>
        <v/>
      </c>
      <c r="J184" s="7"/>
      <c r="K184" s="7"/>
      <c r="L184" s="290"/>
      <c r="M184" s="7"/>
      <c r="N184" s="7"/>
      <c r="O184" s="7"/>
      <c r="P184" s="133">
        <f>SUMIFS('Product samples'!E:E, 'Product samples'!A:A, B184)</f>
        <v>0</v>
      </c>
      <c r="Q184" s="134">
        <f t="shared" si="98"/>
        <v>0</v>
      </c>
      <c r="R184" s="57" t="str">
        <f t="shared" si="92"/>
        <v/>
      </c>
      <c r="S184" s="135" t="str">
        <f t="shared" si="93"/>
        <v/>
      </c>
      <c r="T184" s="132" t="str">
        <f t="shared" si="99"/>
        <v/>
      </c>
      <c r="U184" s="32" t="str">
        <f t="shared" si="100"/>
        <v/>
      </c>
      <c r="V184" s="135" t="str">
        <f t="shared" si="101"/>
        <v/>
      </c>
      <c r="W184" s="136" t="str">
        <f t="shared" si="102"/>
        <v/>
      </c>
      <c r="X184" s="136" t="str">
        <f t="shared" si="103"/>
        <v/>
      </c>
      <c r="Y184" s="136" t="str">
        <f t="shared" si="94"/>
        <v/>
      </c>
      <c r="Z184" s="136" t="str">
        <f t="shared" si="95"/>
        <v/>
      </c>
      <c r="AA184" s="137" t="str">
        <f t="shared" si="104"/>
        <v/>
      </c>
      <c r="AB184" s="135" t="str">
        <f t="shared" si="105"/>
        <v/>
      </c>
      <c r="AC184" s="135" t="str">
        <f t="shared" si="106"/>
        <v/>
      </c>
      <c r="AD184" s="136" t="str">
        <f t="shared" si="107"/>
        <v/>
      </c>
      <c r="AE184" s="136" t="str">
        <f t="shared" si="108"/>
        <v/>
      </c>
      <c r="AF184" s="136" t="str">
        <f t="shared" si="96"/>
        <v/>
      </c>
      <c r="AG184" s="136" t="str">
        <f t="shared" si="97"/>
        <v/>
      </c>
      <c r="AH184" s="137" t="str">
        <f t="shared" si="109"/>
        <v/>
      </c>
      <c r="AI184" s="135" t="str">
        <f t="shared" si="110"/>
        <v/>
      </c>
      <c r="AJ184" s="135" t="str">
        <f t="shared" si="111"/>
        <v/>
      </c>
      <c r="AK184" s="31" t="str">
        <f t="shared" si="112"/>
        <v/>
      </c>
      <c r="AL184" s="31" t="str">
        <f t="shared" si="113"/>
        <v/>
      </c>
    </row>
    <row r="185" spans="4:38" x14ac:dyDescent="0.25">
      <c r="D185" s="5" t="str">
        <f>IFERROR(VLOOKUP(E185,'Chemical data ref sheet'!$A$1:$E$163,2,FALSE),"")</f>
        <v/>
      </c>
      <c r="E185" s="16"/>
      <c r="F185" s="5" t="str">
        <f>IFERROR(VLOOKUP(E185,'Chemical data ref sheet'!$A$1:$E$163,3,FALSE),"")</f>
        <v/>
      </c>
      <c r="G185" s="5"/>
      <c r="H185" s="5" t="str">
        <f>IFERROR(VLOOKUP(E185,'Chemical data ref sheet'!$A$1:$E$163,4,FALSE),"")</f>
        <v/>
      </c>
      <c r="I185" s="5" t="str">
        <f>IFERROR(VLOOKUP(E185,'Chemical data ref sheet'!$A$1:$E$163,5,FALSE),"")</f>
        <v/>
      </c>
      <c r="J185" s="7"/>
      <c r="K185" s="7"/>
      <c r="L185" s="290"/>
      <c r="M185" s="7"/>
      <c r="N185" s="7"/>
      <c r="O185" s="7"/>
      <c r="P185" s="133">
        <f>SUMIFS('Product samples'!E:E, 'Product samples'!A:A, B185)</f>
        <v>0</v>
      </c>
      <c r="Q185" s="134">
        <f t="shared" si="98"/>
        <v>0</v>
      </c>
      <c r="R185" s="57" t="str">
        <f t="shared" si="92"/>
        <v/>
      </c>
      <c r="S185" s="135" t="str">
        <f t="shared" si="93"/>
        <v/>
      </c>
      <c r="T185" s="132" t="str">
        <f t="shared" si="99"/>
        <v/>
      </c>
      <c r="U185" s="32" t="str">
        <f t="shared" si="100"/>
        <v/>
      </c>
      <c r="V185" s="135" t="str">
        <f t="shared" si="101"/>
        <v/>
      </c>
      <c r="W185" s="136" t="str">
        <f t="shared" si="102"/>
        <v/>
      </c>
      <c r="X185" s="136" t="str">
        <f t="shared" si="103"/>
        <v/>
      </c>
      <c r="Y185" s="136" t="str">
        <f t="shared" si="94"/>
        <v/>
      </c>
      <c r="Z185" s="136" t="str">
        <f t="shared" si="95"/>
        <v/>
      </c>
      <c r="AA185" s="137" t="str">
        <f t="shared" si="104"/>
        <v/>
      </c>
      <c r="AB185" s="135" t="str">
        <f t="shared" si="105"/>
        <v/>
      </c>
      <c r="AC185" s="135" t="str">
        <f t="shared" si="106"/>
        <v/>
      </c>
      <c r="AD185" s="136" t="str">
        <f t="shared" si="107"/>
        <v/>
      </c>
      <c r="AE185" s="136" t="str">
        <f t="shared" si="108"/>
        <v/>
      </c>
      <c r="AF185" s="136" t="str">
        <f t="shared" si="96"/>
        <v/>
      </c>
      <c r="AG185" s="136" t="str">
        <f t="shared" si="97"/>
        <v/>
      </c>
      <c r="AH185" s="137" t="str">
        <f t="shared" si="109"/>
        <v/>
      </c>
      <c r="AI185" s="135" t="str">
        <f t="shared" si="110"/>
        <v/>
      </c>
      <c r="AJ185" s="135" t="str">
        <f t="shared" si="111"/>
        <v/>
      </c>
      <c r="AK185" s="31" t="str">
        <f t="shared" si="112"/>
        <v/>
      </c>
      <c r="AL185" s="31" t="str">
        <f t="shared" si="113"/>
        <v/>
      </c>
    </row>
    <row r="186" spans="4:38" x14ac:dyDescent="0.25">
      <c r="D186" s="5" t="str">
        <f>IFERROR(VLOOKUP(E186,'Chemical data ref sheet'!$A$1:$E$163,2,FALSE),"")</f>
        <v/>
      </c>
      <c r="E186" s="16"/>
      <c r="F186" s="5" t="str">
        <f>IFERROR(VLOOKUP(E186,'Chemical data ref sheet'!$A$1:$E$163,3,FALSE),"")</f>
        <v/>
      </c>
      <c r="G186" s="5"/>
      <c r="H186" s="5" t="str">
        <f>IFERROR(VLOOKUP(E186,'Chemical data ref sheet'!$A$1:$E$163,4,FALSE),"")</f>
        <v/>
      </c>
      <c r="I186" s="5" t="str">
        <f>IFERROR(VLOOKUP(E186,'Chemical data ref sheet'!$A$1:$E$163,5,FALSE),"")</f>
        <v/>
      </c>
      <c r="J186" s="7"/>
      <c r="K186" s="7"/>
      <c r="L186" s="290"/>
      <c r="M186" s="7"/>
      <c r="N186" s="7"/>
      <c r="O186" s="7"/>
      <c r="P186" s="133">
        <f>SUMIFS('Product samples'!E:E, 'Product samples'!A:A, B186)</f>
        <v>0</v>
      </c>
      <c r="Q186" s="134">
        <f t="shared" si="98"/>
        <v>0</v>
      </c>
      <c r="R186" s="57" t="str">
        <f t="shared" si="92"/>
        <v/>
      </c>
      <c r="S186" s="135" t="str">
        <f t="shared" si="93"/>
        <v/>
      </c>
      <c r="T186" s="132" t="str">
        <f t="shared" si="99"/>
        <v/>
      </c>
      <c r="U186" s="32" t="str">
        <f t="shared" si="100"/>
        <v/>
      </c>
      <c r="V186" s="135" t="str">
        <f t="shared" si="101"/>
        <v/>
      </c>
      <c r="W186" s="136" t="str">
        <f t="shared" si="102"/>
        <v/>
      </c>
      <c r="X186" s="136" t="str">
        <f t="shared" si="103"/>
        <v/>
      </c>
      <c r="Y186" s="136" t="str">
        <f t="shared" si="94"/>
        <v/>
      </c>
      <c r="Z186" s="136" t="str">
        <f t="shared" si="95"/>
        <v/>
      </c>
      <c r="AA186" s="137" t="str">
        <f t="shared" si="104"/>
        <v/>
      </c>
      <c r="AB186" s="135" t="str">
        <f t="shared" si="105"/>
        <v/>
      </c>
      <c r="AC186" s="135" t="str">
        <f t="shared" si="106"/>
        <v/>
      </c>
      <c r="AD186" s="136" t="str">
        <f t="shared" si="107"/>
        <v/>
      </c>
      <c r="AE186" s="136" t="str">
        <f t="shared" si="108"/>
        <v/>
      </c>
      <c r="AF186" s="136" t="str">
        <f t="shared" si="96"/>
        <v/>
      </c>
      <c r="AG186" s="136" t="str">
        <f t="shared" si="97"/>
        <v/>
      </c>
      <c r="AH186" s="137" t="str">
        <f t="shared" si="109"/>
        <v/>
      </c>
      <c r="AI186" s="135" t="str">
        <f t="shared" si="110"/>
        <v/>
      </c>
      <c r="AJ186" s="135" t="str">
        <f t="shared" si="111"/>
        <v/>
      </c>
      <c r="AK186" s="31" t="str">
        <f t="shared" si="112"/>
        <v/>
      </c>
      <c r="AL186" s="31" t="str">
        <f t="shared" si="113"/>
        <v/>
      </c>
    </row>
    <row r="187" spans="4:38" x14ac:dyDescent="0.25">
      <c r="D187" s="5" t="str">
        <f>IFERROR(VLOOKUP(E187,'Chemical data ref sheet'!$A$1:$E$163,2,FALSE),"")</f>
        <v/>
      </c>
      <c r="E187" s="16"/>
      <c r="F187" s="5" t="str">
        <f>IFERROR(VLOOKUP(E187,'Chemical data ref sheet'!$A$1:$E$163,3,FALSE),"")</f>
        <v/>
      </c>
      <c r="G187" s="5"/>
      <c r="H187" s="5" t="str">
        <f>IFERROR(VLOOKUP(E187,'Chemical data ref sheet'!$A$1:$E$163,4,FALSE),"")</f>
        <v/>
      </c>
      <c r="I187" s="5" t="str">
        <f>IFERROR(VLOOKUP(E187,'Chemical data ref sheet'!$A$1:$E$163,5,FALSE),"")</f>
        <v/>
      </c>
      <c r="J187" s="7"/>
      <c r="K187" s="7"/>
      <c r="L187" s="290"/>
      <c r="M187" s="7"/>
      <c r="N187" s="7"/>
      <c r="O187" s="7"/>
      <c r="P187" s="133">
        <f>SUMIFS('Product samples'!E:E, 'Product samples'!A:A, B187)</f>
        <v>0</v>
      </c>
      <c r="Q187" s="134">
        <f t="shared" si="98"/>
        <v>0</v>
      </c>
      <c r="R187" s="57" t="str">
        <f t="shared" si="92"/>
        <v/>
      </c>
      <c r="S187" s="135" t="str">
        <f t="shared" si="93"/>
        <v/>
      </c>
      <c r="T187" s="132" t="str">
        <f t="shared" si="99"/>
        <v/>
      </c>
      <c r="U187" s="32" t="str">
        <f t="shared" si="100"/>
        <v/>
      </c>
      <c r="V187" s="135" t="str">
        <f t="shared" si="101"/>
        <v/>
      </c>
      <c r="W187" s="136" t="str">
        <f t="shared" si="102"/>
        <v/>
      </c>
      <c r="X187" s="136" t="str">
        <f t="shared" si="103"/>
        <v/>
      </c>
      <c r="Y187" s="136" t="str">
        <f t="shared" si="94"/>
        <v/>
      </c>
      <c r="Z187" s="136" t="str">
        <f t="shared" si="95"/>
        <v/>
      </c>
      <c r="AA187" s="137" t="str">
        <f t="shared" si="104"/>
        <v/>
      </c>
      <c r="AB187" s="135" t="str">
        <f t="shared" si="105"/>
        <v/>
      </c>
      <c r="AC187" s="135" t="str">
        <f t="shared" si="106"/>
        <v/>
      </c>
      <c r="AD187" s="136" t="str">
        <f t="shared" si="107"/>
        <v/>
      </c>
      <c r="AE187" s="136" t="str">
        <f t="shared" si="108"/>
        <v/>
      </c>
      <c r="AF187" s="136" t="str">
        <f t="shared" si="96"/>
        <v/>
      </c>
      <c r="AG187" s="136" t="str">
        <f t="shared" si="97"/>
        <v/>
      </c>
      <c r="AH187" s="137" t="str">
        <f t="shared" si="109"/>
        <v/>
      </c>
      <c r="AI187" s="135" t="str">
        <f t="shared" si="110"/>
        <v/>
      </c>
      <c r="AJ187" s="135" t="str">
        <f t="shared" si="111"/>
        <v/>
      </c>
      <c r="AK187" s="31" t="str">
        <f t="shared" si="112"/>
        <v/>
      </c>
      <c r="AL187" s="31" t="str">
        <f t="shared" si="113"/>
        <v/>
      </c>
    </row>
    <row r="188" spans="4:38" x14ac:dyDescent="0.25">
      <c r="D188" s="5" t="str">
        <f>IFERROR(VLOOKUP(E188,'Chemical data ref sheet'!$A$1:$E$163,2,FALSE),"")</f>
        <v/>
      </c>
      <c r="E188" s="16"/>
      <c r="F188" s="5" t="str">
        <f>IFERROR(VLOOKUP(E188,'Chemical data ref sheet'!$A$1:$E$163,3,FALSE),"")</f>
        <v/>
      </c>
      <c r="G188" s="5"/>
      <c r="H188" s="5" t="str">
        <f>IFERROR(VLOOKUP(E188,'Chemical data ref sheet'!$A$1:$E$163,4,FALSE),"")</f>
        <v/>
      </c>
      <c r="I188" s="5" t="str">
        <f>IFERROR(VLOOKUP(E188,'Chemical data ref sheet'!$A$1:$E$163,5,FALSE),"")</f>
        <v/>
      </c>
      <c r="J188" s="7"/>
      <c r="K188" s="7"/>
      <c r="L188" s="290"/>
      <c r="M188" s="7"/>
      <c r="N188" s="7"/>
      <c r="O188" s="7"/>
      <c r="P188" s="133">
        <f>SUMIFS('Product samples'!E:E, 'Product samples'!A:A, B188)</f>
        <v>0</v>
      </c>
      <c r="Q188" s="134">
        <f t="shared" si="98"/>
        <v>0</v>
      </c>
      <c r="R188" s="57" t="str">
        <f t="shared" si="92"/>
        <v/>
      </c>
      <c r="S188" s="135" t="str">
        <f t="shared" si="93"/>
        <v/>
      </c>
      <c r="T188" s="132" t="str">
        <f t="shared" si="99"/>
        <v/>
      </c>
      <c r="U188" s="32" t="str">
        <f t="shared" si="100"/>
        <v/>
      </c>
      <c r="V188" s="135" t="str">
        <f t="shared" si="101"/>
        <v/>
      </c>
      <c r="W188" s="136" t="str">
        <f t="shared" si="102"/>
        <v/>
      </c>
      <c r="X188" s="136" t="str">
        <f t="shared" si="103"/>
        <v/>
      </c>
      <c r="Y188" s="136" t="str">
        <f t="shared" si="94"/>
        <v/>
      </c>
      <c r="Z188" s="136" t="str">
        <f t="shared" si="95"/>
        <v/>
      </c>
      <c r="AA188" s="137" t="str">
        <f t="shared" si="104"/>
        <v/>
      </c>
      <c r="AB188" s="135" t="str">
        <f t="shared" si="105"/>
        <v/>
      </c>
      <c r="AC188" s="135" t="str">
        <f t="shared" si="106"/>
        <v/>
      </c>
      <c r="AD188" s="136" t="str">
        <f t="shared" si="107"/>
        <v/>
      </c>
      <c r="AE188" s="136" t="str">
        <f t="shared" si="108"/>
        <v/>
      </c>
      <c r="AF188" s="136" t="str">
        <f t="shared" si="96"/>
        <v/>
      </c>
      <c r="AG188" s="136" t="str">
        <f t="shared" si="97"/>
        <v/>
      </c>
      <c r="AH188" s="137" t="str">
        <f t="shared" si="109"/>
        <v/>
      </c>
      <c r="AI188" s="135" t="str">
        <f t="shared" si="110"/>
        <v/>
      </c>
      <c r="AJ188" s="135" t="str">
        <f t="shared" si="111"/>
        <v/>
      </c>
      <c r="AK188" s="31" t="str">
        <f t="shared" si="112"/>
        <v/>
      </c>
      <c r="AL188" s="31" t="str">
        <f t="shared" si="113"/>
        <v/>
      </c>
    </row>
    <row r="189" spans="4:38" x14ac:dyDescent="0.25">
      <c r="D189" s="5" t="str">
        <f>IFERROR(VLOOKUP(E189,'Chemical data ref sheet'!$A$1:$E$163,2,FALSE),"")</f>
        <v/>
      </c>
      <c r="E189" s="16"/>
      <c r="F189" s="5" t="str">
        <f>IFERROR(VLOOKUP(E189,'Chemical data ref sheet'!$A$1:$E$163,3,FALSE),"")</f>
        <v/>
      </c>
      <c r="G189" s="5"/>
      <c r="H189" s="5" t="str">
        <f>IFERROR(VLOOKUP(E189,'Chemical data ref sheet'!$A$1:$E$163,4,FALSE),"")</f>
        <v/>
      </c>
      <c r="I189" s="5" t="str">
        <f>IFERROR(VLOOKUP(E189,'Chemical data ref sheet'!$A$1:$E$163,5,FALSE),"")</f>
        <v/>
      </c>
      <c r="J189" s="7"/>
      <c r="K189" s="7"/>
      <c r="L189" s="290"/>
      <c r="M189" s="7"/>
      <c r="N189" s="7"/>
      <c r="O189" s="7"/>
      <c r="P189" s="133">
        <f>SUMIFS('Product samples'!E:E, 'Product samples'!A:A, B189)</f>
        <v>0</v>
      </c>
      <c r="Q189" s="134">
        <f t="shared" si="98"/>
        <v>0</v>
      </c>
      <c r="R189" s="57" t="str">
        <f t="shared" si="92"/>
        <v/>
      </c>
      <c r="S189" s="135" t="str">
        <f t="shared" si="93"/>
        <v/>
      </c>
      <c r="T189" s="132" t="str">
        <f t="shared" si="99"/>
        <v/>
      </c>
      <c r="U189" s="32" t="str">
        <f t="shared" si="100"/>
        <v/>
      </c>
      <c r="V189" s="135" t="str">
        <f t="shared" si="101"/>
        <v/>
      </c>
      <c r="W189" s="136" t="str">
        <f t="shared" si="102"/>
        <v/>
      </c>
      <c r="X189" s="136" t="str">
        <f t="shared" si="103"/>
        <v/>
      </c>
      <c r="Y189" s="136" t="str">
        <f t="shared" si="94"/>
        <v/>
      </c>
      <c r="Z189" s="136" t="str">
        <f t="shared" si="95"/>
        <v/>
      </c>
      <c r="AA189" s="137" t="str">
        <f t="shared" si="104"/>
        <v/>
      </c>
      <c r="AB189" s="135" t="str">
        <f t="shared" si="105"/>
        <v/>
      </c>
      <c r="AC189" s="135" t="str">
        <f t="shared" si="106"/>
        <v/>
      </c>
      <c r="AD189" s="136" t="str">
        <f t="shared" si="107"/>
        <v/>
      </c>
      <c r="AE189" s="136" t="str">
        <f t="shared" si="108"/>
        <v/>
      </c>
      <c r="AF189" s="136" t="str">
        <f t="shared" si="96"/>
        <v/>
      </c>
      <c r="AG189" s="136" t="str">
        <f t="shared" si="97"/>
        <v/>
      </c>
      <c r="AH189" s="137" t="str">
        <f t="shared" si="109"/>
        <v/>
      </c>
      <c r="AI189" s="135" t="str">
        <f t="shared" si="110"/>
        <v/>
      </c>
      <c r="AJ189" s="135" t="str">
        <f t="shared" si="111"/>
        <v/>
      </c>
      <c r="AK189" s="31" t="str">
        <f t="shared" si="112"/>
        <v/>
      </c>
      <c r="AL189" s="31" t="str">
        <f t="shared" si="113"/>
        <v/>
      </c>
    </row>
    <row r="190" spans="4:38" x14ac:dyDescent="0.25">
      <c r="D190" s="5" t="str">
        <f>IFERROR(VLOOKUP(E190,'Chemical data ref sheet'!$A$1:$E$163,2,FALSE),"")</f>
        <v/>
      </c>
      <c r="E190" s="16"/>
      <c r="F190" s="5" t="str">
        <f>IFERROR(VLOOKUP(E190,'Chemical data ref sheet'!$A$1:$E$163,3,FALSE),"")</f>
        <v/>
      </c>
      <c r="G190" s="5"/>
      <c r="H190" s="5" t="str">
        <f>IFERROR(VLOOKUP(E190,'Chemical data ref sheet'!$A$1:$E$163,4,FALSE),"")</f>
        <v/>
      </c>
      <c r="I190" s="5" t="str">
        <f>IFERROR(VLOOKUP(E190,'Chemical data ref sheet'!$A$1:$E$163,5,FALSE),"")</f>
        <v/>
      </c>
      <c r="J190" s="7"/>
      <c r="K190" s="7"/>
      <c r="L190" s="290"/>
      <c r="M190" s="7"/>
      <c r="N190" s="7"/>
      <c r="O190" s="7"/>
      <c r="P190" s="133">
        <f>SUMIFS('Product samples'!E:E, 'Product samples'!A:A, B190)</f>
        <v>0</v>
      </c>
      <c r="Q190" s="134">
        <f t="shared" si="98"/>
        <v>0</v>
      </c>
      <c r="R190" s="57" t="str">
        <f t="shared" si="92"/>
        <v/>
      </c>
      <c r="S190" s="135" t="str">
        <f t="shared" si="93"/>
        <v/>
      </c>
      <c r="T190" s="132" t="str">
        <f t="shared" si="99"/>
        <v/>
      </c>
      <c r="U190" s="32" t="str">
        <f t="shared" si="100"/>
        <v/>
      </c>
      <c r="V190" s="135" t="str">
        <f t="shared" si="101"/>
        <v/>
      </c>
      <c r="W190" s="136" t="str">
        <f t="shared" si="102"/>
        <v/>
      </c>
      <c r="X190" s="136" t="str">
        <f t="shared" si="103"/>
        <v/>
      </c>
      <c r="Y190" s="136" t="str">
        <f t="shared" si="94"/>
        <v/>
      </c>
      <c r="Z190" s="136" t="str">
        <f t="shared" si="95"/>
        <v/>
      </c>
      <c r="AA190" s="137" t="str">
        <f t="shared" si="104"/>
        <v/>
      </c>
      <c r="AB190" s="135" t="str">
        <f t="shared" si="105"/>
        <v/>
      </c>
      <c r="AC190" s="135" t="str">
        <f t="shared" si="106"/>
        <v/>
      </c>
      <c r="AD190" s="136" t="str">
        <f t="shared" si="107"/>
        <v/>
      </c>
      <c r="AE190" s="136" t="str">
        <f t="shared" si="108"/>
        <v/>
      </c>
      <c r="AF190" s="136" t="str">
        <f t="shared" si="96"/>
        <v/>
      </c>
      <c r="AG190" s="136" t="str">
        <f t="shared" si="97"/>
        <v/>
      </c>
      <c r="AH190" s="137" t="str">
        <f t="shared" si="109"/>
        <v/>
      </c>
      <c r="AI190" s="135" t="str">
        <f t="shared" si="110"/>
        <v/>
      </c>
      <c r="AJ190" s="135" t="str">
        <f t="shared" si="111"/>
        <v/>
      </c>
      <c r="AK190" s="31" t="str">
        <f t="shared" si="112"/>
        <v/>
      </c>
      <c r="AL190" s="31" t="str">
        <f t="shared" si="113"/>
        <v/>
      </c>
    </row>
    <row r="191" spans="4:38" x14ac:dyDescent="0.25">
      <c r="D191" s="5" t="str">
        <f>IFERROR(VLOOKUP(E191,'Chemical data ref sheet'!$A$1:$E$163,2,FALSE),"")</f>
        <v/>
      </c>
      <c r="E191" s="16"/>
      <c r="F191" s="5" t="str">
        <f>IFERROR(VLOOKUP(E191,'Chemical data ref sheet'!$A$1:$E$163,3,FALSE),"")</f>
        <v/>
      </c>
      <c r="G191" s="5"/>
      <c r="H191" s="5" t="str">
        <f>IFERROR(VLOOKUP(E191,'Chemical data ref sheet'!$A$1:$E$163,4,FALSE),"")</f>
        <v/>
      </c>
      <c r="I191" s="5" t="str">
        <f>IFERROR(VLOOKUP(E191,'Chemical data ref sheet'!$A$1:$E$163,5,FALSE),"")</f>
        <v/>
      </c>
      <c r="J191" s="7"/>
      <c r="K191" s="7"/>
      <c r="L191" s="290"/>
      <c r="M191" s="7"/>
      <c r="N191" s="7"/>
      <c r="O191" s="7"/>
      <c r="P191" s="133">
        <f>SUMIFS('Product samples'!E:E, 'Product samples'!A:A, B191)</f>
        <v>0</v>
      </c>
      <c r="Q191" s="134">
        <f t="shared" si="98"/>
        <v>0</v>
      </c>
      <c r="R191" s="57" t="str">
        <f t="shared" si="92"/>
        <v/>
      </c>
      <c r="S191" s="135" t="str">
        <f t="shared" si="93"/>
        <v/>
      </c>
      <c r="T191" s="132" t="str">
        <f t="shared" si="99"/>
        <v/>
      </c>
      <c r="U191" s="32" t="str">
        <f t="shared" si="100"/>
        <v/>
      </c>
      <c r="V191" s="135" t="str">
        <f t="shared" si="101"/>
        <v/>
      </c>
      <c r="W191" s="136" t="str">
        <f t="shared" si="102"/>
        <v/>
      </c>
      <c r="X191" s="136" t="str">
        <f t="shared" si="103"/>
        <v/>
      </c>
      <c r="Y191" s="136" t="str">
        <f t="shared" si="94"/>
        <v/>
      </c>
      <c r="Z191" s="136" t="str">
        <f t="shared" si="95"/>
        <v/>
      </c>
      <c r="AA191" s="137" t="str">
        <f t="shared" si="104"/>
        <v/>
      </c>
      <c r="AB191" s="135" t="str">
        <f t="shared" si="105"/>
        <v/>
      </c>
      <c r="AC191" s="135" t="str">
        <f t="shared" si="106"/>
        <v/>
      </c>
      <c r="AD191" s="136" t="str">
        <f t="shared" si="107"/>
        <v/>
      </c>
      <c r="AE191" s="136" t="str">
        <f t="shared" si="108"/>
        <v/>
      </c>
      <c r="AF191" s="136" t="str">
        <f t="shared" si="96"/>
        <v/>
      </c>
      <c r="AG191" s="136" t="str">
        <f t="shared" si="97"/>
        <v/>
      </c>
      <c r="AH191" s="137" t="str">
        <f t="shared" si="109"/>
        <v/>
      </c>
      <c r="AI191" s="135" t="str">
        <f t="shared" si="110"/>
        <v/>
      </c>
      <c r="AJ191" s="135" t="str">
        <f t="shared" si="111"/>
        <v/>
      </c>
      <c r="AK191" s="31" t="str">
        <f t="shared" si="112"/>
        <v/>
      </c>
      <c r="AL191" s="31" t="str">
        <f t="shared" si="113"/>
        <v/>
      </c>
    </row>
    <row r="192" spans="4:38" x14ac:dyDescent="0.25">
      <c r="D192" s="5" t="str">
        <f>IFERROR(VLOOKUP(E192,'Chemical data ref sheet'!$A$1:$E$163,2,FALSE),"")</f>
        <v/>
      </c>
      <c r="E192" s="16"/>
      <c r="F192" s="5" t="str">
        <f>IFERROR(VLOOKUP(E192,'Chemical data ref sheet'!$A$1:$E$163,3,FALSE),"")</f>
        <v/>
      </c>
      <c r="G192" s="5"/>
      <c r="H192" s="5" t="str">
        <f>IFERROR(VLOOKUP(E192,'Chemical data ref sheet'!$A$1:$E$163,4,FALSE),"")</f>
        <v/>
      </c>
      <c r="I192" s="5" t="str">
        <f>IFERROR(VLOOKUP(E192,'Chemical data ref sheet'!$A$1:$E$163,5,FALSE),"")</f>
        <v/>
      </c>
      <c r="J192" s="7"/>
      <c r="K192" s="7"/>
      <c r="L192" s="290"/>
      <c r="M192" s="7"/>
      <c r="N192" s="7"/>
      <c r="O192" s="7"/>
      <c r="P192" s="133">
        <f>SUMIFS('Product samples'!E:E, 'Product samples'!A:A, B192)</f>
        <v>0</v>
      </c>
      <c r="Q192" s="134">
        <f t="shared" si="98"/>
        <v>0</v>
      </c>
      <c r="R192" s="57" t="str">
        <f t="shared" si="92"/>
        <v/>
      </c>
      <c r="S192" s="135" t="str">
        <f t="shared" si="93"/>
        <v/>
      </c>
      <c r="T192" s="132" t="str">
        <f t="shared" si="99"/>
        <v/>
      </c>
      <c r="U192" s="32" t="str">
        <f t="shared" si="100"/>
        <v/>
      </c>
      <c r="V192" s="135" t="str">
        <f t="shared" si="101"/>
        <v/>
      </c>
      <c r="W192" s="136" t="str">
        <f t="shared" si="102"/>
        <v/>
      </c>
      <c r="X192" s="136" t="str">
        <f t="shared" si="103"/>
        <v/>
      </c>
      <c r="Y192" s="136" t="str">
        <f t="shared" si="94"/>
        <v/>
      </c>
      <c r="Z192" s="136" t="str">
        <f t="shared" si="95"/>
        <v/>
      </c>
      <c r="AA192" s="137" t="str">
        <f t="shared" si="104"/>
        <v/>
      </c>
      <c r="AB192" s="135" t="str">
        <f t="shared" si="105"/>
        <v/>
      </c>
      <c r="AC192" s="135" t="str">
        <f t="shared" si="106"/>
        <v/>
      </c>
      <c r="AD192" s="136" t="str">
        <f t="shared" si="107"/>
        <v/>
      </c>
      <c r="AE192" s="136" t="str">
        <f t="shared" si="108"/>
        <v/>
      </c>
      <c r="AF192" s="136" t="str">
        <f t="shared" si="96"/>
        <v/>
      </c>
      <c r="AG192" s="136" t="str">
        <f t="shared" si="97"/>
        <v/>
      </c>
      <c r="AH192" s="137" t="str">
        <f t="shared" si="109"/>
        <v/>
      </c>
      <c r="AI192" s="135" t="str">
        <f t="shared" si="110"/>
        <v/>
      </c>
      <c r="AJ192" s="135" t="str">
        <f t="shared" si="111"/>
        <v/>
      </c>
      <c r="AK192" s="31" t="str">
        <f t="shared" si="112"/>
        <v/>
      </c>
      <c r="AL192" s="31" t="str">
        <f t="shared" si="113"/>
        <v/>
      </c>
    </row>
    <row r="193" spans="4:38" x14ac:dyDescent="0.25">
      <c r="D193" s="5" t="str">
        <f>IFERROR(VLOOKUP(E193,'Chemical data ref sheet'!$A$1:$E$163,2,FALSE),"")</f>
        <v/>
      </c>
      <c r="E193" s="16"/>
      <c r="F193" s="5" t="str">
        <f>IFERROR(VLOOKUP(E193,'Chemical data ref sheet'!$A$1:$E$163,3,FALSE),"")</f>
        <v/>
      </c>
      <c r="G193" s="5"/>
      <c r="H193" s="5" t="str">
        <f>IFERROR(VLOOKUP(E193,'Chemical data ref sheet'!$A$1:$E$163,4,FALSE),"")</f>
        <v/>
      </c>
      <c r="I193" s="5" t="str">
        <f>IFERROR(VLOOKUP(E193,'Chemical data ref sheet'!$A$1:$E$163,5,FALSE),"")</f>
        <v/>
      </c>
      <c r="J193" s="7"/>
      <c r="K193" s="7"/>
      <c r="L193" s="290"/>
      <c r="M193" s="7"/>
      <c r="N193" s="7"/>
      <c r="O193" s="7"/>
      <c r="P193" s="133">
        <f>SUMIFS('Product samples'!E:E, 'Product samples'!A:A, B193)</f>
        <v>0</v>
      </c>
      <c r="Q193" s="134">
        <f t="shared" si="98"/>
        <v>0</v>
      </c>
      <c r="R193" s="57" t="str">
        <f t="shared" si="92"/>
        <v/>
      </c>
      <c r="S193" s="135" t="str">
        <f t="shared" si="93"/>
        <v/>
      </c>
      <c r="T193" s="132" t="str">
        <f t="shared" si="99"/>
        <v/>
      </c>
      <c r="U193" s="32" t="str">
        <f t="shared" si="100"/>
        <v/>
      </c>
      <c r="V193" s="135" t="str">
        <f t="shared" si="101"/>
        <v/>
      </c>
      <c r="W193" s="136" t="str">
        <f t="shared" si="102"/>
        <v/>
      </c>
      <c r="X193" s="136" t="str">
        <f t="shared" si="103"/>
        <v/>
      </c>
      <c r="Y193" s="136" t="str">
        <f t="shared" si="94"/>
        <v/>
      </c>
      <c r="Z193" s="136" t="str">
        <f t="shared" si="95"/>
        <v/>
      </c>
      <c r="AA193" s="137" t="str">
        <f t="shared" si="104"/>
        <v/>
      </c>
      <c r="AB193" s="135" t="str">
        <f t="shared" si="105"/>
        <v/>
      </c>
      <c r="AC193" s="135" t="str">
        <f t="shared" si="106"/>
        <v/>
      </c>
      <c r="AD193" s="136" t="str">
        <f t="shared" si="107"/>
        <v/>
      </c>
      <c r="AE193" s="136" t="str">
        <f t="shared" si="108"/>
        <v/>
      </c>
      <c r="AF193" s="136" t="str">
        <f t="shared" si="96"/>
        <v/>
      </c>
      <c r="AG193" s="136" t="str">
        <f t="shared" si="97"/>
        <v/>
      </c>
      <c r="AH193" s="137" t="str">
        <f t="shared" si="109"/>
        <v/>
      </c>
      <c r="AI193" s="135" t="str">
        <f t="shared" si="110"/>
        <v/>
      </c>
      <c r="AJ193" s="135" t="str">
        <f t="shared" si="111"/>
        <v/>
      </c>
      <c r="AK193" s="31" t="str">
        <f t="shared" si="112"/>
        <v/>
      </c>
      <c r="AL193" s="31" t="str">
        <f t="shared" si="113"/>
        <v/>
      </c>
    </row>
    <row r="194" spans="4:38" x14ac:dyDescent="0.25">
      <c r="D194" s="5" t="str">
        <f>IFERROR(VLOOKUP(E194,'Chemical data ref sheet'!$A$1:$E$163,2,FALSE),"")</f>
        <v/>
      </c>
      <c r="E194" s="16"/>
      <c r="F194" s="5" t="str">
        <f>IFERROR(VLOOKUP(E194,'Chemical data ref sheet'!$A$1:$E$163,3,FALSE),"")</f>
        <v/>
      </c>
      <c r="G194" s="5"/>
      <c r="H194" s="5" t="str">
        <f>IFERROR(VLOOKUP(E194,'Chemical data ref sheet'!$A$1:$E$163,4,FALSE),"")</f>
        <v/>
      </c>
      <c r="I194" s="5" t="str">
        <f>IFERROR(VLOOKUP(E194,'Chemical data ref sheet'!$A$1:$E$163,5,FALSE),"")</f>
        <v/>
      </c>
      <c r="J194" s="7"/>
      <c r="K194" s="7"/>
      <c r="L194" s="290"/>
      <c r="M194" s="7"/>
      <c r="N194" s="7"/>
      <c r="O194" s="7"/>
      <c r="P194" s="133">
        <f>SUMIFS('Product samples'!E:E, 'Product samples'!A:A, B194)</f>
        <v>0</v>
      </c>
      <c r="Q194" s="134">
        <f t="shared" si="98"/>
        <v>0</v>
      </c>
      <c r="R194" s="57" t="str">
        <f t="shared" ref="R194:R255" si="114">IFERROR(IF(G194="",VLOOKUP(C194,$B$1:$W$254,22,FALSE),VLOOKUP(C194,$B$1:$W$254,22,FALSE)*(G194/VLOOKUP(C194,$B$1:$X$254,23,FALSE))),"")</f>
        <v/>
      </c>
      <c r="S194" s="135" t="str">
        <f t="shared" ref="S194:S255" si="115">IFERROR(IF(G194="",VLOOKUP(C194,$B$1:$X$254,23,FALSE),VLOOKUP(C194,$B$1:$X$254,23,FALSE)*(G194/VLOOKUP(C194,$B$1:$X$254,23,FALSE))),"")</f>
        <v/>
      </c>
      <c r="T194" s="132" t="str">
        <f t="shared" si="99"/>
        <v/>
      </c>
      <c r="U194" s="32" t="str">
        <f t="shared" si="100"/>
        <v/>
      </c>
      <c r="V194" s="135" t="str">
        <f t="shared" si="101"/>
        <v/>
      </c>
      <c r="W194" s="136" t="str">
        <f t="shared" si="102"/>
        <v/>
      </c>
      <c r="X194" s="136" t="str">
        <f t="shared" si="103"/>
        <v/>
      </c>
      <c r="Y194" s="136" t="str">
        <f t="shared" ref="Y194:Y255" si="116">IFERROR(IF(G194="",VLOOKUP(C194,$B$1:$AD$254,29,FALSE),VLOOKUP(C194,$B$1:$AD$254,29,FALSE)*(G194/VLOOKUP(C194,$B$1:$AE$254,30,FALSE))),"")</f>
        <v/>
      </c>
      <c r="Z194" s="136" t="str">
        <f t="shared" ref="Z194:Z255" si="117">IFERROR(IF(G194="",VLOOKUP(C194,$B$1:$AE$254,30,FALSE),VLOOKUP(C194,$B$1:$AE$254,30,FALSE)*(G194/VLOOKUP(C194,$B$1:$AE$254,30,FALSE))),"")</f>
        <v/>
      </c>
      <c r="AA194" s="137" t="str">
        <f t="shared" si="104"/>
        <v/>
      </c>
      <c r="AB194" s="135" t="str">
        <f t="shared" si="105"/>
        <v/>
      </c>
      <c r="AC194" s="135" t="str">
        <f t="shared" si="106"/>
        <v/>
      </c>
      <c r="AD194" s="136" t="str">
        <f t="shared" si="107"/>
        <v/>
      </c>
      <c r="AE194" s="136" t="str">
        <f t="shared" si="108"/>
        <v/>
      </c>
      <c r="AF194" s="136" t="str">
        <f t="shared" ref="AF194:AF255" si="118">IFERROR(IF(G194="",VLOOKUP(C194,$B$1:$AK$254,36,FALSE),VLOOKUP(C194,$B$1:$AK$254,36,FALSE)*(G194/VLOOKUP(C194,$B$1:$AL$254,37,FALSE))),"")</f>
        <v/>
      </c>
      <c r="AG194" s="136" t="str">
        <f t="shared" ref="AG194:AG255" si="119">IFERROR(IF(G194="",VLOOKUP(C194,$B$1:$AL$254,37,FALSE),VLOOKUP(C194,$B$1:$AL$254,37,FALSE)*(G194/VLOOKUP(C194,$B$1:$AL$254,37,FALSE))),"")</f>
        <v/>
      </c>
      <c r="AH194" s="137" t="str">
        <f t="shared" si="109"/>
        <v/>
      </c>
      <c r="AI194" s="135" t="str">
        <f t="shared" si="110"/>
        <v/>
      </c>
      <c r="AJ194" s="135" t="str">
        <f t="shared" si="111"/>
        <v/>
      </c>
      <c r="AK194" s="31" t="str">
        <f t="shared" si="112"/>
        <v/>
      </c>
      <c r="AL194" s="31" t="str">
        <f t="shared" si="113"/>
        <v/>
      </c>
    </row>
    <row r="195" spans="4:38" x14ac:dyDescent="0.25">
      <c r="D195" s="5" t="str">
        <f>IFERROR(VLOOKUP(E195,'Chemical data ref sheet'!$A$1:$E$163,2,FALSE),"")</f>
        <v/>
      </c>
      <c r="E195" s="16"/>
      <c r="F195" s="5" t="str">
        <f>IFERROR(VLOOKUP(E195,'Chemical data ref sheet'!$A$1:$E$163,3,FALSE),"")</f>
        <v/>
      </c>
      <c r="G195" s="5"/>
      <c r="H195" s="5" t="str">
        <f>IFERROR(VLOOKUP(E195,'Chemical data ref sheet'!$A$1:$E$163,4,FALSE),"")</f>
        <v/>
      </c>
      <c r="I195" s="5" t="str">
        <f>IFERROR(VLOOKUP(E195,'Chemical data ref sheet'!$A$1:$E$163,5,FALSE),"")</f>
        <v/>
      </c>
      <c r="J195" s="7"/>
      <c r="K195" s="7"/>
      <c r="L195" s="290"/>
      <c r="M195" s="7"/>
      <c r="N195" s="7"/>
      <c r="O195" s="7"/>
      <c r="P195" s="133">
        <f>SUMIFS('Product samples'!E:E, 'Product samples'!A:A, B195)</f>
        <v>0</v>
      </c>
      <c r="Q195" s="134">
        <f t="shared" si="98"/>
        <v>0</v>
      </c>
      <c r="R195" s="57" t="str">
        <f t="shared" si="114"/>
        <v/>
      </c>
      <c r="S195" s="135" t="str">
        <f t="shared" si="115"/>
        <v/>
      </c>
      <c r="T195" s="132" t="str">
        <f t="shared" si="99"/>
        <v/>
      </c>
      <c r="U195" s="32" t="str">
        <f t="shared" si="100"/>
        <v/>
      </c>
      <c r="V195" s="135" t="str">
        <f t="shared" si="101"/>
        <v/>
      </c>
      <c r="W195" s="136" t="str">
        <f t="shared" si="102"/>
        <v/>
      </c>
      <c r="X195" s="136" t="str">
        <f t="shared" si="103"/>
        <v/>
      </c>
      <c r="Y195" s="136" t="str">
        <f t="shared" si="116"/>
        <v/>
      </c>
      <c r="Z195" s="136" t="str">
        <f t="shared" si="117"/>
        <v/>
      </c>
      <c r="AA195" s="137" t="str">
        <f t="shared" si="104"/>
        <v/>
      </c>
      <c r="AB195" s="135" t="str">
        <f t="shared" si="105"/>
        <v/>
      </c>
      <c r="AC195" s="135" t="str">
        <f t="shared" si="106"/>
        <v/>
      </c>
      <c r="AD195" s="136" t="str">
        <f t="shared" si="107"/>
        <v/>
      </c>
      <c r="AE195" s="136" t="str">
        <f t="shared" si="108"/>
        <v/>
      </c>
      <c r="AF195" s="136" t="str">
        <f t="shared" si="118"/>
        <v/>
      </c>
      <c r="AG195" s="136" t="str">
        <f t="shared" si="119"/>
        <v/>
      </c>
      <c r="AH195" s="137" t="str">
        <f t="shared" si="109"/>
        <v/>
      </c>
      <c r="AI195" s="135" t="str">
        <f t="shared" si="110"/>
        <v/>
      </c>
      <c r="AJ195" s="135" t="str">
        <f t="shared" si="111"/>
        <v/>
      </c>
      <c r="AK195" s="31" t="str">
        <f t="shared" si="112"/>
        <v/>
      </c>
      <c r="AL195" s="31" t="str">
        <f t="shared" si="113"/>
        <v/>
      </c>
    </row>
    <row r="196" spans="4:38" x14ac:dyDescent="0.25">
      <c r="D196" s="5" t="str">
        <f>IFERROR(VLOOKUP(E196,'Chemical data ref sheet'!$A$1:$E$163,2,FALSE),"")</f>
        <v/>
      </c>
      <c r="E196" s="16"/>
      <c r="F196" s="5" t="str">
        <f>IFERROR(VLOOKUP(E196,'Chemical data ref sheet'!$A$1:$E$163,3,FALSE),"")</f>
        <v/>
      </c>
      <c r="G196" s="5"/>
      <c r="H196" s="5" t="str">
        <f>IFERROR(VLOOKUP(E196,'Chemical data ref sheet'!$A$1:$E$163,4,FALSE),"")</f>
        <v/>
      </c>
      <c r="I196" s="5" t="str">
        <f>IFERROR(VLOOKUP(E196,'Chemical data ref sheet'!$A$1:$E$163,5,FALSE),"")</f>
        <v/>
      </c>
      <c r="J196" s="7"/>
      <c r="K196" s="7"/>
      <c r="L196" s="290"/>
      <c r="M196" s="7"/>
      <c r="N196" s="7"/>
      <c r="O196" s="7"/>
      <c r="P196" s="133">
        <f>SUMIFS('Product samples'!E:E, 'Product samples'!A:A, B196)</f>
        <v>0</v>
      </c>
      <c r="Q196" s="134">
        <f t="shared" si="98"/>
        <v>0</v>
      </c>
      <c r="R196" s="57" t="str">
        <f t="shared" si="114"/>
        <v/>
      </c>
      <c r="S196" s="135" t="str">
        <f t="shared" si="115"/>
        <v/>
      </c>
      <c r="T196" s="132" t="str">
        <f t="shared" si="99"/>
        <v/>
      </c>
      <c r="U196" s="32" t="str">
        <f t="shared" si="100"/>
        <v/>
      </c>
      <c r="V196" s="135" t="str">
        <f t="shared" si="101"/>
        <v/>
      </c>
      <c r="W196" s="136" t="str">
        <f t="shared" si="102"/>
        <v/>
      </c>
      <c r="X196" s="136" t="str">
        <f t="shared" si="103"/>
        <v/>
      </c>
      <c r="Y196" s="136" t="str">
        <f t="shared" si="116"/>
        <v/>
      </c>
      <c r="Z196" s="136" t="str">
        <f t="shared" si="117"/>
        <v/>
      </c>
      <c r="AA196" s="137" t="str">
        <f t="shared" si="104"/>
        <v/>
      </c>
      <c r="AB196" s="135" t="str">
        <f t="shared" si="105"/>
        <v/>
      </c>
      <c r="AC196" s="135" t="str">
        <f t="shared" si="106"/>
        <v/>
      </c>
      <c r="AD196" s="136" t="str">
        <f t="shared" si="107"/>
        <v/>
      </c>
      <c r="AE196" s="136" t="str">
        <f t="shared" si="108"/>
        <v/>
      </c>
      <c r="AF196" s="136" t="str">
        <f t="shared" si="118"/>
        <v/>
      </c>
      <c r="AG196" s="136" t="str">
        <f t="shared" si="119"/>
        <v/>
      </c>
      <c r="AH196" s="137" t="str">
        <f t="shared" si="109"/>
        <v/>
      </c>
      <c r="AI196" s="135" t="str">
        <f t="shared" si="110"/>
        <v/>
      </c>
      <c r="AJ196" s="135" t="str">
        <f t="shared" si="111"/>
        <v/>
      </c>
      <c r="AK196" s="31" t="str">
        <f t="shared" si="112"/>
        <v/>
      </c>
      <c r="AL196" s="31" t="str">
        <f t="shared" si="113"/>
        <v/>
      </c>
    </row>
    <row r="197" spans="4:38" x14ac:dyDescent="0.25">
      <c r="D197" s="5" t="str">
        <f>IFERROR(VLOOKUP(E197,'Chemical data ref sheet'!$A$1:$E$163,2,FALSE),"")</f>
        <v/>
      </c>
      <c r="E197" s="16"/>
      <c r="F197" s="5" t="str">
        <f>IFERROR(VLOOKUP(E197,'Chemical data ref sheet'!$A$1:$E$163,3,FALSE),"")</f>
        <v/>
      </c>
      <c r="G197" s="5"/>
      <c r="H197" s="5" t="str">
        <f>IFERROR(VLOOKUP(E197,'Chemical data ref sheet'!$A$1:$E$163,4,FALSE),"")</f>
        <v/>
      </c>
      <c r="I197" s="5" t="str">
        <f>IFERROR(VLOOKUP(E197,'Chemical data ref sheet'!$A$1:$E$163,5,FALSE),"")</f>
        <v/>
      </c>
      <c r="J197" s="7"/>
      <c r="K197" s="7"/>
      <c r="L197" s="290"/>
      <c r="M197" s="7"/>
      <c r="N197" s="7"/>
      <c r="O197" s="7"/>
      <c r="P197" s="133">
        <f>SUMIFS('Product samples'!E:E, 'Product samples'!A:A, B197)</f>
        <v>0</v>
      </c>
      <c r="Q197" s="134">
        <f t="shared" si="98"/>
        <v>0</v>
      </c>
      <c r="R197" s="57" t="str">
        <f t="shared" si="114"/>
        <v/>
      </c>
      <c r="S197" s="135" t="str">
        <f t="shared" si="115"/>
        <v/>
      </c>
      <c r="T197" s="132" t="str">
        <f t="shared" si="99"/>
        <v/>
      </c>
      <c r="U197" s="32" t="str">
        <f t="shared" si="100"/>
        <v/>
      </c>
      <c r="V197" s="135" t="str">
        <f t="shared" si="101"/>
        <v/>
      </c>
      <c r="W197" s="136" t="str">
        <f t="shared" si="102"/>
        <v/>
      </c>
      <c r="X197" s="136" t="str">
        <f t="shared" si="103"/>
        <v/>
      </c>
      <c r="Y197" s="136" t="str">
        <f t="shared" si="116"/>
        <v/>
      </c>
      <c r="Z197" s="136" t="str">
        <f t="shared" si="117"/>
        <v/>
      </c>
      <c r="AA197" s="137" t="str">
        <f t="shared" si="104"/>
        <v/>
      </c>
      <c r="AB197" s="135" t="str">
        <f t="shared" si="105"/>
        <v/>
      </c>
      <c r="AC197" s="135" t="str">
        <f t="shared" si="106"/>
        <v/>
      </c>
      <c r="AD197" s="136" t="str">
        <f t="shared" si="107"/>
        <v/>
      </c>
      <c r="AE197" s="136" t="str">
        <f t="shared" si="108"/>
        <v/>
      </c>
      <c r="AF197" s="136" t="str">
        <f t="shared" si="118"/>
        <v/>
      </c>
      <c r="AG197" s="136" t="str">
        <f t="shared" si="119"/>
        <v/>
      </c>
      <c r="AH197" s="137" t="str">
        <f t="shared" si="109"/>
        <v/>
      </c>
      <c r="AI197" s="135" t="str">
        <f t="shared" si="110"/>
        <v/>
      </c>
      <c r="AJ197" s="135" t="str">
        <f t="shared" si="111"/>
        <v/>
      </c>
      <c r="AK197" s="31" t="str">
        <f t="shared" si="112"/>
        <v/>
      </c>
      <c r="AL197" s="31" t="str">
        <f t="shared" si="113"/>
        <v/>
      </c>
    </row>
    <row r="198" spans="4:38" x14ac:dyDescent="0.25">
      <c r="D198" s="5" t="str">
        <f>IFERROR(VLOOKUP(E198,'Chemical data ref sheet'!$A$1:$E$163,2,FALSE),"")</f>
        <v/>
      </c>
      <c r="E198" s="16"/>
      <c r="F198" s="5" t="str">
        <f>IFERROR(VLOOKUP(E198,'Chemical data ref sheet'!$A$1:$E$163,3,FALSE),"")</f>
        <v/>
      </c>
      <c r="G198" s="5"/>
      <c r="H198" s="5" t="str">
        <f>IFERROR(VLOOKUP(E198,'Chemical data ref sheet'!$A$1:$E$163,4,FALSE),"")</f>
        <v/>
      </c>
      <c r="I198" s="5" t="str">
        <f>IFERROR(VLOOKUP(E198,'Chemical data ref sheet'!$A$1:$E$163,5,FALSE),"")</f>
        <v/>
      </c>
      <c r="J198" s="7"/>
      <c r="K198" s="7"/>
      <c r="L198" s="290"/>
      <c r="M198" s="7"/>
      <c r="N198" s="7"/>
      <c r="O198" s="7"/>
      <c r="P198" s="133">
        <f>SUMIFS('Product samples'!E:E, 'Product samples'!A:A, B198)</f>
        <v>0</v>
      </c>
      <c r="Q198" s="134">
        <f t="shared" si="98"/>
        <v>0</v>
      </c>
      <c r="R198" s="57" t="str">
        <f t="shared" si="114"/>
        <v/>
      </c>
      <c r="S198" s="135" t="str">
        <f t="shared" si="115"/>
        <v/>
      </c>
      <c r="T198" s="132" t="str">
        <f t="shared" si="99"/>
        <v/>
      </c>
      <c r="U198" s="32" t="str">
        <f t="shared" si="100"/>
        <v/>
      </c>
      <c r="V198" s="135" t="str">
        <f t="shared" si="101"/>
        <v/>
      </c>
      <c r="W198" s="136" t="str">
        <f t="shared" si="102"/>
        <v/>
      </c>
      <c r="X198" s="136" t="str">
        <f t="shared" si="103"/>
        <v/>
      </c>
      <c r="Y198" s="136" t="str">
        <f t="shared" si="116"/>
        <v/>
      </c>
      <c r="Z198" s="136" t="str">
        <f t="shared" si="117"/>
        <v/>
      </c>
      <c r="AA198" s="137" t="str">
        <f t="shared" si="104"/>
        <v/>
      </c>
      <c r="AB198" s="135" t="str">
        <f t="shared" si="105"/>
        <v/>
      </c>
      <c r="AC198" s="135" t="str">
        <f t="shared" si="106"/>
        <v/>
      </c>
      <c r="AD198" s="136" t="str">
        <f t="shared" si="107"/>
        <v/>
      </c>
      <c r="AE198" s="136" t="str">
        <f t="shared" si="108"/>
        <v/>
      </c>
      <c r="AF198" s="136" t="str">
        <f t="shared" si="118"/>
        <v/>
      </c>
      <c r="AG198" s="136" t="str">
        <f t="shared" si="119"/>
        <v/>
      </c>
      <c r="AH198" s="137" t="str">
        <f t="shared" si="109"/>
        <v/>
      </c>
      <c r="AI198" s="135" t="str">
        <f t="shared" si="110"/>
        <v/>
      </c>
      <c r="AJ198" s="135" t="str">
        <f t="shared" si="111"/>
        <v/>
      </c>
      <c r="AK198" s="31" t="str">
        <f t="shared" si="112"/>
        <v/>
      </c>
      <c r="AL198" s="31" t="str">
        <f t="shared" si="113"/>
        <v/>
      </c>
    </row>
    <row r="199" spans="4:38" x14ac:dyDescent="0.25">
      <c r="D199" s="5" t="str">
        <f>IFERROR(VLOOKUP(E199,'Chemical data ref sheet'!$A$1:$E$163,2,FALSE),"")</f>
        <v/>
      </c>
      <c r="E199" s="16"/>
      <c r="F199" s="5" t="str">
        <f>IFERROR(VLOOKUP(E199,'Chemical data ref sheet'!$A$1:$E$163,3,FALSE),"")</f>
        <v/>
      </c>
      <c r="G199" s="5"/>
      <c r="H199" s="5" t="str">
        <f>IFERROR(VLOOKUP(E199,'Chemical data ref sheet'!$A$1:$E$163,4,FALSE),"")</f>
        <v/>
      </c>
      <c r="I199" s="5" t="str">
        <f>IFERROR(VLOOKUP(E199,'Chemical data ref sheet'!$A$1:$E$163,5,FALSE),"")</f>
        <v/>
      </c>
      <c r="J199" s="7"/>
      <c r="K199" s="7"/>
      <c r="L199" s="290"/>
      <c r="M199" s="7"/>
      <c r="N199" s="7"/>
      <c r="O199" s="7"/>
      <c r="P199" s="133">
        <f>SUMIFS('Product samples'!E:E, 'Product samples'!A:A, B199)</f>
        <v>0</v>
      </c>
      <c r="Q199" s="134">
        <f t="shared" si="98"/>
        <v>0</v>
      </c>
      <c r="R199" s="57" t="str">
        <f t="shared" si="114"/>
        <v/>
      </c>
      <c r="S199" s="135" t="str">
        <f t="shared" si="115"/>
        <v/>
      </c>
      <c r="T199" s="132" t="str">
        <f t="shared" si="99"/>
        <v/>
      </c>
      <c r="U199" s="32" t="str">
        <f t="shared" si="100"/>
        <v/>
      </c>
      <c r="V199" s="135" t="str">
        <f t="shared" si="101"/>
        <v/>
      </c>
      <c r="W199" s="136" t="str">
        <f t="shared" si="102"/>
        <v/>
      </c>
      <c r="X199" s="136" t="str">
        <f t="shared" si="103"/>
        <v/>
      </c>
      <c r="Y199" s="136" t="str">
        <f t="shared" si="116"/>
        <v/>
      </c>
      <c r="Z199" s="136" t="str">
        <f t="shared" si="117"/>
        <v/>
      </c>
      <c r="AA199" s="137" t="str">
        <f t="shared" si="104"/>
        <v/>
      </c>
      <c r="AB199" s="135" t="str">
        <f t="shared" si="105"/>
        <v/>
      </c>
      <c r="AC199" s="135" t="str">
        <f t="shared" si="106"/>
        <v/>
      </c>
      <c r="AD199" s="136" t="str">
        <f t="shared" si="107"/>
        <v/>
      </c>
      <c r="AE199" s="136" t="str">
        <f t="shared" si="108"/>
        <v/>
      </c>
      <c r="AF199" s="136" t="str">
        <f t="shared" si="118"/>
        <v/>
      </c>
      <c r="AG199" s="136" t="str">
        <f t="shared" si="119"/>
        <v/>
      </c>
      <c r="AH199" s="137" t="str">
        <f t="shared" si="109"/>
        <v/>
      </c>
      <c r="AI199" s="135" t="str">
        <f t="shared" si="110"/>
        <v/>
      </c>
      <c r="AJ199" s="135" t="str">
        <f t="shared" si="111"/>
        <v/>
      </c>
      <c r="AK199" s="31" t="str">
        <f t="shared" si="112"/>
        <v/>
      </c>
      <c r="AL199" s="31" t="str">
        <f t="shared" si="113"/>
        <v/>
      </c>
    </row>
    <row r="200" spans="4:38" x14ac:dyDescent="0.25">
      <c r="D200" s="5" t="str">
        <f>IFERROR(VLOOKUP(E200,'Chemical data ref sheet'!$A$1:$E$163,2,FALSE),"")</f>
        <v/>
      </c>
      <c r="E200" s="16"/>
      <c r="F200" s="5" t="str">
        <f>IFERROR(VLOOKUP(E200,'Chemical data ref sheet'!$A$1:$E$163,3,FALSE),"")</f>
        <v/>
      </c>
      <c r="G200" s="5"/>
      <c r="H200" s="5" t="str">
        <f>IFERROR(VLOOKUP(E200,'Chemical data ref sheet'!$A$1:$E$163,4,FALSE),"")</f>
        <v/>
      </c>
      <c r="I200" s="5" t="str">
        <f>IFERROR(VLOOKUP(E200,'Chemical data ref sheet'!$A$1:$E$163,5,FALSE),"")</f>
        <v/>
      </c>
      <c r="J200" s="7"/>
      <c r="K200" s="7"/>
      <c r="L200" s="290"/>
      <c r="M200" s="7"/>
      <c r="N200" s="7"/>
      <c r="O200" s="7"/>
      <c r="P200" s="133">
        <f>SUMIFS('Product samples'!E:E, 'Product samples'!A:A, B200)</f>
        <v>0</v>
      </c>
      <c r="Q200" s="134">
        <f t="shared" si="98"/>
        <v>0</v>
      </c>
      <c r="R200" s="57" t="str">
        <f t="shared" si="114"/>
        <v/>
      </c>
      <c r="S200" s="135" t="str">
        <f t="shared" si="115"/>
        <v/>
      </c>
      <c r="T200" s="132" t="str">
        <f t="shared" si="99"/>
        <v/>
      </c>
      <c r="U200" s="32" t="str">
        <f t="shared" si="100"/>
        <v/>
      </c>
      <c r="V200" s="135" t="str">
        <f t="shared" si="101"/>
        <v/>
      </c>
      <c r="W200" s="136" t="str">
        <f t="shared" si="102"/>
        <v/>
      </c>
      <c r="X200" s="136" t="str">
        <f t="shared" si="103"/>
        <v/>
      </c>
      <c r="Y200" s="136" t="str">
        <f t="shared" si="116"/>
        <v/>
      </c>
      <c r="Z200" s="136" t="str">
        <f t="shared" si="117"/>
        <v/>
      </c>
      <c r="AA200" s="137" t="str">
        <f t="shared" si="104"/>
        <v/>
      </c>
      <c r="AB200" s="135" t="str">
        <f t="shared" si="105"/>
        <v/>
      </c>
      <c r="AC200" s="135" t="str">
        <f t="shared" si="106"/>
        <v/>
      </c>
      <c r="AD200" s="136" t="str">
        <f t="shared" si="107"/>
        <v/>
      </c>
      <c r="AE200" s="136" t="str">
        <f t="shared" si="108"/>
        <v/>
      </c>
      <c r="AF200" s="136" t="str">
        <f t="shared" si="118"/>
        <v/>
      </c>
      <c r="AG200" s="136" t="str">
        <f t="shared" si="119"/>
        <v/>
      </c>
      <c r="AH200" s="137" t="str">
        <f t="shared" si="109"/>
        <v/>
      </c>
      <c r="AI200" s="135" t="str">
        <f t="shared" si="110"/>
        <v/>
      </c>
      <c r="AJ200" s="135" t="str">
        <f t="shared" si="111"/>
        <v/>
      </c>
      <c r="AK200" s="31" t="str">
        <f t="shared" si="112"/>
        <v/>
      </c>
      <c r="AL200" s="31" t="str">
        <f t="shared" si="113"/>
        <v/>
      </c>
    </row>
    <row r="201" spans="4:38" x14ac:dyDescent="0.25">
      <c r="D201" s="5" t="str">
        <f>IFERROR(VLOOKUP(E201,'Chemical data ref sheet'!$A$1:$E$163,2,FALSE),"")</f>
        <v/>
      </c>
      <c r="E201" s="16"/>
      <c r="F201" s="5" t="str">
        <f>IFERROR(VLOOKUP(E201,'Chemical data ref sheet'!$A$1:$E$163,3,FALSE),"")</f>
        <v/>
      </c>
      <c r="G201" s="5"/>
      <c r="H201" s="5" t="str">
        <f>IFERROR(VLOOKUP(E201,'Chemical data ref sheet'!$A$1:$E$163,4,FALSE),"")</f>
        <v/>
      </c>
      <c r="I201" s="5" t="str">
        <f>IFERROR(VLOOKUP(E201,'Chemical data ref sheet'!$A$1:$E$163,5,FALSE),"")</f>
        <v/>
      </c>
      <c r="J201" s="7"/>
      <c r="K201" s="7"/>
      <c r="L201" s="290"/>
      <c r="M201" s="7"/>
      <c r="N201" s="7"/>
      <c r="O201" s="7"/>
      <c r="P201" s="133">
        <f>SUMIFS('Product samples'!E:E, 'Product samples'!A:A, B201)</f>
        <v>0</v>
      </c>
      <c r="Q201" s="134">
        <f t="shared" si="98"/>
        <v>0</v>
      </c>
      <c r="R201" s="57" t="str">
        <f t="shared" si="114"/>
        <v/>
      </c>
      <c r="S201" s="135" t="str">
        <f t="shared" si="115"/>
        <v/>
      </c>
      <c r="T201" s="132" t="str">
        <f t="shared" si="99"/>
        <v/>
      </c>
      <c r="U201" s="32" t="str">
        <f t="shared" si="100"/>
        <v/>
      </c>
      <c r="V201" s="135" t="str">
        <f t="shared" si="101"/>
        <v/>
      </c>
      <c r="W201" s="136" t="str">
        <f t="shared" si="102"/>
        <v/>
      </c>
      <c r="X201" s="136" t="str">
        <f t="shared" si="103"/>
        <v/>
      </c>
      <c r="Y201" s="136" t="str">
        <f t="shared" si="116"/>
        <v/>
      </c>
      <c r="Z201" s="136" t="str">
        <f t="shared" si="117"/>
        <v/>
      </c>
      <c r="AA201" s="137" t="str">
        <f t="shared" si="104"/>
        <v/>
      </c>
      <c r="AB201" s="135" t="str">
        <f t="shared" si="105"/>
        <v/>
      </c>
      <c r="AC201" s="135" t="str">
        <f t="shared" si="106"/>
        <v/>
      </c>
      <c r="AD201" s="136" t="str">
        <f t="shared" si="107"/>
        <v/>
      </c>
      <c r="AE201" s="136" t="str">
        <f t="shared" si="108"/>
        <v/>
      </c>
      <c r="AF201" s="136" t="str">
        <f t="shared" si="118"/>
        <v/>
      </c>
      <c r="AG201" s="136" t="str">
        <f t="shared" si="119"/>
        <v/>
      </c>
      <c r="AH201" s="137" t="str">
        <f t="shared" si="109"/>
        <v/>
      </c>
      <c r="AI201" s="135" t="str">
        <f t="shared" si="110"/>
        <v/>
      </c>
      <c r="AJ201" s="135" t="str">
        <f t="shared" si="111"/>
        <v/>
      </c>
      <c r="AK201" s="31" t="str">
        <f t="shared" si="112"/>
        <v/>
      </c>
      <c r="AL201" s="31" t="str">
        <f t="shared" si="113"/>
        <v/>
      </c>
    </row>
    <row r="202" spans="4:38" x14ac:dyDescent="0.25">
      <c r="D202" s="5" t="str">
        <f>IFERROR(VLOOKUP(E202,'Chemical data ref sheet'!$A$1:$E$163,2,FALSE),"")</f>
        <v/>
      </c>
      <c r="E202" s="16"/>
      <c r="F202" s="5" t="str">
        <f>IFERROR(VLOOKUP(E202,'Chemical data ref sheet'!$A$1:$E$163,3,FALSE),"")</f>
        <v/>
      </c>
      <c r="G202" s="5"/>
      <c r="H202" s="5" t="str">
        <f>IFERROR(VLOOKUP(E202,'Chemical data ref sheet'!$A$1:$E$163,4,FALSE),"")</f>
        <v/>
      </c>
      <c r="I202" s="5" t="str">
        <f>IFERROR(VLOOKUP(E202,'Chemical data ref sheet'!$A$1:$E$163,5,FALSE),"")</f>
        <v/>
      </c>
      <c r="J202" s="7"/>
      <c r="K202" s="7"/>
      <c r="L202" s="290"/>
      <c r="M202" s="7"/>
      <c r="N202" s="7"/>
      <c r="O202" s="7"/>
      <c r="P202" s="133">
        <f>SUMIFS('Product samples'!E:E, 'Product samples'!A:A, B202)</f>
        <v>0</v>
      </c>
      <c r="Q202" s="134">
        <f t="shared" si="98"/>
        <v>0</v>
      </c>
      <c r="R202" s="57" t="str">
        <f t="shared" si="114"/>
        <v/>
      </c>
      <c r="S202" s="135" t="str">
        <f t="shared" si="115"/>
        <v/>
      </c>
      <c r="T202" s="132" t="str">
        <f t="shared" si="99"/>
        <v/>
      </c>
      <c r="U202" s="32" t="str">
        <f t="shared" si="100"/>
        <v/>
      </c>
      <c r="V202" s="135" t="str">
        <f t="shared" si="101"/>
        <v/>
      </c>
      <c r="W202" s="136" t="str">
        <f t="shared" si="102"/>
        <v/>
      </c>
      <c r="X202" s="136" t="str">
        <f t="shared" si="103"/>
        <v/>
      </c>
      <c r="Y202" s="136" t="str">
        <f t="shared" si="116"/>
        <v/>
      </c>
      <c r="Z202" s="136" t="str">
        <f t="shared" si="117"/>
        <v/>
      </c>
      <c r="AA202" s="137" t="str">
        <f t="shared" si="104"/>
        <v/>
      </c>
      <c r="AB202" s="135" t="str">
        <f t="shared" si="105"/>
        <v/>
      </c>
      <c r="AC202" s="135" t="str">
        <f t="shared" si="106"/>
        <v/>
      </c>
      <c r="AD202" s="136" t="str">
        <f t="shared" si="107"/>
        <v/>
      </c>
      <c r="AE202" s="136" t="str">
        <f t="shared" si="108"/>
        <v/>
      </c>
      <c r="AF202" s="136" t="str">
        <f t="shared" si="118"/>
        <v/>
      </c>
      <c r="AG202" s="136" t="str">
        <f t="shared" si="119"/>
        <v/>
      </c>
      <c r="AH202" s="137" t="str">
        <f t="shared" si="109"/>
        <v/>
      </c>
      <c r="AI202" s="135" t="str">
        <f t="shared" si="110"/>
        <v/>
      </c>
      <c r="AJ202" s="135" t="str">
        <f t="shared" si="111"/>
        <v/>
      </c>
      <c r="AK202" s="31" t="str">
        <f t="shared" si="112"/>
        <v/>
      </c>
      <c r="AL202" s="31" t="str">
        <f t="shared" si="113"/>
        <v/>
      </c>
    </row>
    <row r="203" spans="4:38" x14ac:dyDescent="0.25">
      <c r="D203" s="5" t="str">
        <f>IFERROR(VLOOKUP(E203,'Chemical data ref sheet'!$A$1:$E$163,2,FALSE),"")</f>
        <v/>
      </c>
      <c r="E203" s="16"/>
      <c r="F203" s="5" t="str">
        <f>IFERROR(VLOOKUP(E203,'Chemical data ref sheet'!$A$1:$E$163,3,FALSE),"")</f>
        <v/>
      </c>
      <c r="G203" s="5"/>
      <c r="H203" s="5" t="str">
        <f>IFERROR(VLOOKUP(E203,'Chemical data ref sheet'!$A$1:$E$163,4,FALSE),"")</f>
        <v/>
      </c>
      <c r="I203" s="5" t="str">
        <f>IFERROR(VLOOKUP(E203,'Chemical data ref sheet'!$A$1:$E$163,5,FALSE),"")</f>
        <v/>
      </c>
      <c r="J203" s="7"/>
      <c r="K203" s="7"/>
      <c r="L203" s="290"/>
      <c r="M203" s="7"/>
      <c r="N203" s="7"/>
      <c r="O203" s="7"/>
      <c r="P203" s="133">
        <f>SUMIFS('Product samples'!E:E, 'Product samples'!A:A, B203)</f>
        <v>0</v>
      </c>
      <c r="Q203" s="134">
        <f t="shared" si="98"/>
        <v>0</v>
      </c>
      <c r="R203" s="57" t="str">
        <f t="shared" si="114"/>
        <v/>
      </c>
      <c r="S203" s="135" t="str">
        <f t="shared" si="115"/>
        <v/>
      </c>
      <c r="T203" s="132" t="str">
        <f t="shared" si="99"/>
        <v/>
      </c>
      <c r="U203" s="32" t="str">
        <f t="shared" si="100"/>
        <v/>
      </c>
      <c r="V203" s="135" t="str">
        <f t="shared" si="101"/>
        <v/>
      </c>
      <c r="W203" s="136" t="str">
        <f t="shared" si="102"/>
        <v/>
      </c>
      <c r="X203" s="136" t="str">
        <f t="shared" si="103"/>
        <v/>
      </c>
      <c r="Y203" s="136" t="str">
        <f t="shared" si="116"/>
        <v/>
      </c>
      <c r="Z203" s="136" t="str">
        <f t="shared" si="117"/>
        <v/>
      </c>
      <c r="AA203" s="137" t="str">
        <f t="shared" si="104"/>
        <v/>
      </c>
      <c r="AB203" s="135" t="str">
        <f t="shared" si="105"/>
        <v/>
      </c>
      <c r="AC203" s="135" t="str">
        <f t="shared" si="106"/>
        <v/>
      </c>
      <c r="AD203" s="136" t="str">
        <f t="shared" si="107"/>
        <v/>
      </c>
      <c r="AE203" s="136" t="str">
        <f t="shared" si="108"/>
        <v/>
      </c>
      <c r="AF203" s="136" t="str">
        <f t="shared" si="118"/>
        <v/>
      </c>
      <c r="AG203" s="136" t="str">
        <f t="shared" si="119"/>
        <v/>
      </c>
      <c r="AH203" s="137" t="str">
        <f t="shared" si="109"/>
        <v/>
      </c>
      <c r="AI203" s="135" t="str">
        <f t="shared" si="110"/>
        <v/>
      </c>
      <c r="AJ203" s="135" t="str">
        <f t="shared" si="111"/>
        <v/>
      </c>
      <c r="AK203" s="31" t="str">
        <f t="shared" si="112"/>
        <v/>
      </c>
      <c r="AL203" s="31" t="str">
        <f t="shared" si="113"/>
        <v/>
      </c>
    </row>
    <row r="204" spans="4:38" x14ac:dyDescent="0.25">
      <c r="D204" s="5" t="str">
        <f>IFERROR(VLOOKUP(E204,'Chemical data ref sheet'!$A$1:$E$163,2,FALSE),"")</f>
        <v/>
      </c>
      <c r="E204" s="16"/>
      <c r="F204" s="5" t="str">
        <f>IFERROR(VLOOKUP(E204,'Chemical data ref sheet'!$A$1:$E$163,3,FALSE),"")</f>
        <v/>
      </c>
      <c r="G204" s="5"/>
      <c r="H204" s="5" t="str">
        <f>IFERROR(VLOOKUP(E204,'Chemical data ref sheet'!$A$1:$E$163,4,FALSE),"")</f>
        <v/>
      </c>
      <c r="I204" s="5" t="str">
        <f>IFERROR(VLOOKUP(E204,'Chemical data ref sheet'!$A$1:$E$163,5,FALSE),"")</f>
        <v/>
      </c>
      <c r="J204" s="7"/>
      <c r="K204" s="7"/>
      <c r="L204" s="290"/>
      <c r="M204" s="7"/>
      <c r="N204" s="7"/>
      <c r="O204" s="7"/>
      <c r="P204" s="133">
        <f>SUMIFS('Product samples'!E:E, 'Product samples'!A:A, B204)</f>
        <v>0</v>
      </c>
      <c r="Q204" s="134">
        <f t="shared" si="98"/>
        <v>0</v>
      </c>
      <c r="R204" s="57" t="str">
        <f t="shared" si="114"/>
        <v/>
      </c>
      <c r="S204" s="135" t="str">
        <f t="shared" si="115"/>
        <v/>
      </c>
      <c r="T204" s="132" t="str">
        <f t="shared" si="99"/>
        <v/>
      </c>
      <c r="U204" s="32" t="str">
        <f t="shared" si="100"/>
        <v/>
      </c>
      <c r="V204" s="135" t="str">
        <f t="shared" si="101"/>
        <v/>
      </c>
      <c r="W204" s="136" t="str">
        <f t="shared" si="102"/>
        <v/>
      </c>
      <c r="X204" s="136" t="str">
        <f t="shared" si="103"/>
        <v/>
      </c>
      <c r="Y204" s="136" t="str">
        <f t="shared" si="116"/>
        <v/>
      </c>
      <c r="Z204" s="136" t="str">
        <f t="shared" si="117"/>
        <v/>
      </c>
      <c r="AA204" s="137" t="str">
        <f t="shared" si="104"/>
        <v/>
      </c>
      <c r="AB204" s="135" t="str">
        <f t="shared" si="105"/>
        <v/>
      </c>
      <c r="AC204" s="135" t="str">
        <f t="shared" si="106"/>
        <v/>
      </c>
      <c r="AD204" s="136" t="str">
        <f t="shared" si="107"/>
        <v/>
      </c>
      <c r="AE204" s="136" t="str">
        <f t="shared" si="108"/>
        <v/>
      </c>
      <c r="AF204" s="136" t="str">
        <f t="shared" si="118"/>
        <v/>
      </c>
      <c r="AG204" s="136" t="str">
        <f t="shared" si="119"/>
        <v/>
      </c>
      <c r="AH204" s="137" t="str">
        <f t="shared" si="109"/>
        <v/>
      </c>
      <c r="AI204" s="135" t="str">
        <f t="shared" si="110"/>
        <v/>
      </c>
      <c r="AJ204" s="135" t="str">
        <f t="shared" si="111"/>
        <v/>
      </c>
      <c r="AK204" s="31" t="str">
        <f t="shared" si="112"/>
        <v/>
      </c>
      <c r="AL204" s="31" t="str">
        <f t="shared" si="113"/>
        <v/>
      </c>
    </row>
    <row r="205" spans="4:38" x14ac:dyDescent="0.25">
      <c r="D205" s="5" t="str">
        <f>IFERROR(VLOOKUP(E205,'Chemical data ref sheet'!$A$1:$E$163,2,FALSE),"")</f>
        <v/>
      </c>
      <c r="E205" s="16"/>
      <c r="F205" s="5" t="str">
        <f>IFERROR(VLOOKUP(E205,'Chemical data ref sheet'!$A$1:$E$163,3,FALSE),"")</f>
        <v/>
      </c>
      <c r="G205" s="5"/>
      <c r="H205" s="5" t="str">
        <f>IFERROR(VLOOKUP(E205,'Chemical data ref sheet'!$A$1:$E$163,4,FALSE),"")</f>
        <v/>
      </c>
      <c r="I205" s="5" t="str">
        <f>IFERROR(VLOOKUP(E205,'Chemical data ref sheet'!$A$1:$E$163,5,FALSE),"")</f>
        <v/>
      </c>
      <c r="J205" s="7"/>
      <c r="K205" s="7"/>
      <c r="L205" s="290"/>
      <c r="M205" s="7"/>
      <c r="N205" s="7"/>
      <c r="O205" s="7"/>
      <c r="P205" s="133">
        <f>SUMIFS('Product samples'!E:E, 'Product samples'!A:A, B205)</f>
        <v>0</v>
      </c>
      <c r="Q205" s="134">
        <f t="shared" si="98"/>
        <v>0</v>
      </c>
      <c r="R205" s="57" t="str">
        <f t="shared" si="114"/>
        <v/>
      </c>
      <c r="S205" s="135" t="str">
        <f t="shared" si="115"/>
        <v/>
      </c>
      <c r="T205" s="132" t="str">
        <f t="shared" si="99"/>
        <v/>
      </c>
      <c r="U205" s="32" t="str">
        <f t="shared" si="100"/>
        <v/>
      </c>
      <c r="V205" s="135" t="str">
        <f t="shared" si="101"/>
        <v/>
      </c>
      <c r="W205" s="136" t="str">
        <f t="shared" si="102"/>
        <v/>
      </c>
      <c r="X205" s="136" t="str">
        <f t="shared" si="103"/>
        <v/>
      </c>
      <c r="Y205" s="136" t="str">
        <f t="shared" si="116"/>
        <v/>
      </c>
      <c r="Z205" s="136" t="str">
        <f t="shared" si="117"/>
        <v/>
      </c>
      <c r="AA205" s="137" t="str">
        <f t="shared" si="104"/>
        <v/>
      </c>
      <c r="AB205" s="135" t="str">
        <f t="shared" si="105"/>
        <v/>
      </c>
      <c r="AC205" s="135" t="str">
        <f t="shared" si="106"/>
        <v/>
      </c>
      <c r="AD205" s="136" t="str">
        <f t="shared" si="107"/>
        <v/>
      </c>
      <c r="AE205" s="136" t="str">
        <f t="shared" si="108"/>
        <v/>
      </c>
      <c r="AF205" s="136" t="str">
        <f t="shared" si="118"/>
        <v/>
      </c>
      <c r="AG205" s="136" t="str">
        <f t="shared" si="119"/>
        <v/>
      </c>
      <c r="AH205" s="137" t="str">
        <f t="shared" si="109"/>
        <v/>
      </c>
      <c r="AI205" s="135" t="str">
        <f t="shared" si="110"/>
        <v/>
      </c>
      <c r="AJ205" s="135" t="str">
        <f t="shared" si="111"/>
        <v/>
      </c>
      <c r="AK205" s="31" t="str">
        <f t="shared" si="112"/>
        <v/>
      </c>
      <c r="AL205" s="31" t="str">
        <f t="shared" si="113"/>
        <v/>
      </c>
    </row>
    <row r="206" spans="4:38" x14ac:dyDescent="0.25">
      <c r="D206" s="5" t="str">
        <f>IFERROR(VLOOKUP(E206,'Chemical data ref sheet'!$A$1:$E$163,2,FALSE),"")</f>
        <v/>
      </c>
      <c r="E206" s="16"/>
      <c r="F206" s="5" t="str">
        <f>IFERROR(VLOOKUP(E206,'Chemical data ref sheet'!$A$1:$E$163,3,FALSE),"")</f>
        <v/>
      </c>
      <c r="G206" s="5"/>
      <c r="H206" s="5" t="str">
        <f>IFERROR(VLOOKUP(E206,'Chemical data ref sheet'!$A$1:$E$163,4,FALSE),"")</f>
        <v/>
      </c>
      <c r="I206" s="5" t="str">
        <f>IFERROR(VLOOKUP(E206,'Chemical data ref sheet'!$A$1:$E$163,5,FALSE),"")</f>
        <v/>
      </c>
      <c r="J206" s="7"/>
      <c r="K206" s="7"/>
      <c r="L206" s="290"/>
      <c r="M206" s="7"/>
      <c r="N206" s="7"/>
      <c r="O206" s="7"/>
      <c r="P206" s="133">
        <f>SUMIFS('Product samples'!E:E, 'Product samples'!A:A, B206)</f>
        <v>0</v>
      </c>
      <c r="Q206" s="134">
        <f t="shared" si="98"/>
        <v>0</v>
      </c>
      <c r="R206" s="57" t="str">
        <f t="shared" si="114"/>
        <v/>
      </c>
      <c r="S206" s="135" t="str">
        <f t="shared" si="115"/>
        <v/>
      </c>
      <c r="T206" s="132" t="str">
        <f t="shared" si="99"/>
        <v/>
      </c>
      <c r="U206" s="32" t="str">
        <f t="shared" si="100"/>
        <v/>
      </c>
      <c r="V206" s="135" t="str">
        <f t="shared" si="101"/>
        <v/>
      </c>
      <c r="W206" s="136" t="str">
        <f t="shared" si="102"/>
        <v/>
      </c>
      <c r="X206" s="136" t="str">
        <f t="shared" si="103"/>
        <v/>
      </c>
      <c r="Y206" s="136" t="str">
        <f t="shared" si="116"/>
        <v/>
      </c>
      <c r="Z206" s="136" t="str">
        <f t="shared" si="117"/>
        <v/>
      </c>
      <c r="AA206" s="137" t="str">
        <f t="shared" si="104"/>
        <v/>
      </c>
      <c r="AB206" s="135" t="str">
        <f t="shared" si="105"/>
        <v/>
      </c>
      <c r="AC206" s="135" t="str">
        <f t="shared" si="106"/>
        <v/>
      </c>
      <c r="AD206" s="136" t="str">
        <f t="shared" si="107"/>
        <v/>
      </c>
      <c r="AE206" s="136" t="str">
        <f t="shared" si="108"/>
        <v/>
      </c>
      <c r="AF206" s="136" t="str">
        <f t="shared" si="118"/>
        <v/>
      </c>
      <c r="AG206" s="136" t="str">
        <f t="shared" si="119"/>
        <v/>
      </c>
      <c r="AH206" s="137" t="str">
        <f t="shared" si="109"/>
        <v/>
      </c>
      <c r="AI206" s="135" t="str">
        <f t="shared" si="110"/>
        <v/>
      </c>
      <c r="AJ206" s="135" t="str">
        <f t="shared" si="111"/>
        <v/>
      </c>
      <c r="AK206" s="31" t="str">
        <f t="shared" si="112"/>
        <v/>
      </c>
      <c r="AL206" s="31" t="str">
        <f t="shared" si="113"/>
        <v/>
      </c>
    </row>
    <row r="207" spans="4:38" x14ac:dyDescent="0.25">
      <c r="D207" s="5" t="str">
        <f>IFERROR(VLOOKUP(E207,'Chemical data ref sheet'!$A$1:$E$163,2,FALSE),"")</f>
        <v/>
      </c>
      <c r="E207" s="16"/>
      <c r="F207" s="5" t="str">
        <f>IFERROR(VLOOKUP(E207,'Chemical data ref sheet'!$A$1:$E$163,3,FALSE),"")</f>
        <v/>
      </c>
      <c r="G207" s="5"/>
      <c r="H207" s="5" t="str">
        <f>IFERROR(VLOOKUP(E207,'Chemical data ref sheet'!$A$1:$E$163,4,FALSE),"")</f>
        <v/>
      </c>
      <c r="I207" s="5" t="str">
        <f>IFERROR(VLOOKUP(E207,'Chemical data ref sheet'!$A$1:$E$163,5,FALSE),"")</f>
        <v/>
      </c>
      <c r="J207" s="7"/>
      <c r="K207" s="7"/>
      <c r="L207" s="290"/>
      <c r="M207" s="7"/>
      <c r="N207" s="7"/>
      <c r="O207" s="7"/>
      <c r="P207" s="133">
        <f>SUMIFS('Product samples'!E:E, 'Product samples'!A:A, B207)</f>
        <v>0</v>
      </c>
      <c r="Q207" s="134">
        <f t="shared" si="98"/>
        <v>0</v>
      </c>
      <c r="R207" s="57" t="str">
        <f t="shared" si="114"/>
        <v/>
      </c>
      <c r="S207" s="135" t="str">
        <f t="shared" si="115"/>
        <v/>
      </c>
      <c r="T207" s="132" t="str">
        <f t="shared" si="99"/>
        <v/>
      </c>
      <c r="U207" s="32" t="str">
        <f t="shared" si="100"/>
        <v/>
      </c>
      <c r="V207" s="135" t="str">
        <f t="shared" si="101"/>
        <v/>
      </c>
      <c r="W207" s="136" t="str">
        <f t="shared" si="102"/>
        <v/>
      </c>
      <c r="X207" s="136" t="str">
        <f t="shared" si="103"/>
        <v/>
      </c>
      <c r="Y207" s="136" t="str">
        <f t="shared" si="116"/>
        <v/>
      </c>
      <c r="Z207" s="136" t="str">
        <f t="shared" si="117"/>
        <v/>
      </c>
      <c r="AA207" s="137" t="str">
        <f t="shared" si="104"/>
        <v/>
      </c>
      <c r="AB207" s="135" t="str">
        <f t="shared" si="105"/>
        <v/>
      </c>
      <c r="AC207" s="135" t="str">
        <f t="shared" si="106"/>
        <v/>
      </c>
      <c r="AD207" s="136" t="str">
        <f t="shared" si="107"/>
        <v/>
      </c>
      <c r="AE207" s="136" t="str">
        <f t="shared" si="108"/>
        <v/>
      </c>
      <c r="AF207" s="136" t="str">
        <f t="shared" si="118"/>
        <v/>
      </c>
      <c r="AG207" s="136" t="str">
        <f t="shared" si="119"/>
        <v/>
      </c>
      <c r="AH207" s="137" t="str">
        <f t="shared" si="109"/>
        <v/>
      </c>
      <c r="AI207" s="135" t="str">
        <f t="shared" si="110"/>
        <v/>
      </c>
      <c r="AJ207" s="135" t="str">
        <f t="shared" si="111"/>
        <v/>
      </c>
      <c r="AK207" s="31" t="str">
        <f t="shared" si="112"/>
        <v/>
      </c>
      <c r="AL207" s="31" t="str">
        <f t="shared" si="113"/>
        <v/>
      </c>
    </row>
    <row r="208" spans="4:38" x14ac:dyDescent="0.25">
      <c r="D208" s="5" t="str">
        <f>IFERROR(VLOOKUP(E208,'Chemical data ref sheet'!$A$1:$E$163,2,FALSE),"")</f>
        <v/>
      </c>
      <c r="E208" s="16"/>
      <c r="F208" s="5" t="str">
        <f>IFERROR(VLOOKUP(E208,'Chemical data ref sheet'!$A$1:$E$163,3,FALSE),"")</f>
        <v/>
      </c>
      <c r="G208" s="5"/>
      <c r="H208" s="5" t="str">
        <f>IFERROR(VLOOKUP(E208,'Chemical data ref sheet'!$A$1:$E$163,4,FALSE),"")</f>
        <v/>
      </c>
      <c r="I208" s="5" t="str">
        <f>IFERROR(VLOOKUP(E208,'Chemical data ref sheet'!$A$1:$E$163,5,FALSE),"")</f>
        <v/>
      </c>
      <c r="J208" s="7"/>
      <c r="K208" s="7"/>
      <c r="L208" s="290"/>
      <c r="M208" s="7"/>
      <c r="N208" s="7"/>
      <c r="O208" s="7"/>
      <c r="P208" s="133">
        <f>SUMIFS('Product samples'!E:E, 'Product samples'!A:A, B208)</f>
        <v>0</v>
      </c>
      <c r="Q208" s="134">
        <f t="shared" si="98"/>
        <v>0</v>
      </c>
      <c r="R208" s="57" t="str">
        <f t="shared" si="114"/>
        <v/>
      </c>
      <c r="S208" s="135" t="str">
        <f t="shared" si="115"/>
        <v/>
      </c>
      <c r="T208" s="132" t="str">
        <f t="shared" si="99"/>
        <v/>
      </c>
      <c r="U208" s="32" t="str">
        <f t="shared" si="100"/>
        <v/>
      </c>
      <c r="V208" s="135" t="str">
        <f t="shared" si="101"/>
        <v/>
      </c>
      <c r="W208" s="136" t="str">
        <f t="shared" si="102"/>
        <v/>
      </c>
      <c r="X208" s="136" t="str">
        <f t="shared" si="103"/>
        <v/>
      </c>
      <c r="Y208" s="136" t="str">
        <f t="shared" si="116"/>
        <v/>
      </c>
      <c r="Z208" s="136" t="str">
        <f t="shared" si="117"/>
        <v/>
      </c>
      <c r="AA208" s="137" t="str">
        <f t="shared" si="104"/>
        <v/>
      </c>
      <c r="AB208" s="135" t="str">
        <f t="shared" si="105"/>
        <v/>
      </c>
      <c r="AC208" s="135" t="str">
        <f t="shared" si="106"/>
        <v/>
      </c>
      <c r="AD208" s="136" t="str">
        <f t="shared" si="107"/>
        <v/>
      </c>
      <c r="AE208" s="136" t="str">
        <f t="shared" si="108"/>
        <v/>
      </c>
      <c r="AF208" s="136" t="str">
        <f t="shared" si="118"/>
        <v/>
      </c>
      <c r="AG208" s="136" t="str">
        <f t="shared" si="119"/>
        <v/>
      </c>
      <c r="AH208" s="137" t="str">
        <f t="shared" si="109"/>
        <v/>
      </c>
      <c r="AI208" s="135" t="str">
        <f t="shared" si="110"/>
        <v/>
      </c>
      <c r="AJ208" s="135" t="str">
        <f t="shared" si="111"/>
        <v/>
      </c>
      <c r="AK208" s="31" t="str">
        <f t="shared" si="112"/>
        <v/>
      </c>
      <c r="AL208" s="31" t="str">
        <f t="shared" si="113"/>
        <v/>
      </c>
    </row>
    <row r="209" spans="4:38" x14ac:dyDescent="0.25">
      <c r="D209" s="5" t="str">
        <f>IFERROR(VLOOKUP(E209,'Chemical data ref sheet'!$A$1:$E$163,2,FALSE),"")</f>
        <v/>
      </c>
      <c r="E209" s="16"/>
      <c r="F209" s="5" t="str">
        <f>IFERROR(VLOOKUP(E209,'Chemical data ref sheet'!$A$1:$E$163,3,FALSE),"")</f>
        <v/>
      </c>
      <c r="G209" s="5"/>
      <c r="H209" s="5" t="str">
        <f>IFERROR(VLOOKUP(E209,'Chemical data ref sheet'!$A$1:$E$163,4,FALSE),"")</f>
        <v/>
      </c>
      <c r="I209" s="5" t="str">
        <f>IFERROR(VLOOKUP(E209,'Chemical data ref sheet'!$A$1:$E$163,5,FALSE),"")</f>
        <v/>
      </c>
      <c r="J209" s="7"/>
      <c r="K209" s="7"/>
      <c r="L209" s="290"/>
      <c r="M209" s="7"/>
      <c r="N209" s="7"/>
      <c r="O209" s="7"/>
      <c r="P209" s="133">
        <f>SUMIFS('Product samples'!E:E, 'Product samples'!A:A, B209)</f>
        <v>0</v>
      </c>
      <c r="Q209" s="134">
        <f t="shared" si="98"/>
        <v>0</v>
      </c>
      <c r="R209" s="57" t="str">
        <f t="shared" si="114"/>
        <v/>
      </c>
      <c r="S209" s="135" t="str">
        <f t="shared" si="115"/>
        <v/>
      </c>
      <c r="T209" s="132" t="str">
        <f t="shared" si="99"/>
        <v/>
      </c>
      <c r="U209" s="32" t="str">
        <f t="shared" si="100"/>
        <v/>
      </c>
      <c r="V209" s="135" t="str">
        <f t="shared" si="101"/>
        <v/>
      </c>
      <c r="W209" s="136" t="str">
        <f t="shared" si="102"/>
        <v/>
      </c>
      <c r="X209" s="136" t="str">
        <f t="shared" si="103"/>
        <v/>
      </c>
      <c r="Y209" s="136" t="str">
        <f t="shared" si="116"/>
        <v/>
      </c>
      <c r="Z209" s="136" t="str">
        <f t="shared" si="117"/>
        <v/>
      </c>
      <c r="AA209" s="137" t="str">
        <f t="shared" si="104"/>
        <v/>
      </c>
      <c r="AB209" s="135" t="str">
        <f t="shared" si="105"/>
        <v/>
      </c>
      <c r="AC209" s="135" t="str">
        <f t="shared" si="106"/>
        <v/>
      </c>
      <c r="AD209" s="136" t="str">
        <f t="shared" si="107"/>
        <v/>
      </c>
      <c r="AE209" s="136" t="str">
        <f t="shared" si="108"/>
        <v/>
      </c>
      <c r="AF209" s="136" t="str">
        <f t="shared" si="118"/>
        <v/>
      </c>
      <c r="AG209" s="136" t="str">
        <f t="shared" si="119"/>
        <v/>
      </c>
      <c r="AH209" s="137" t="str">
        <f t="shared" si="109"/>
        <v/>
      </c>
      <c r="AI209" s="135" t="str">
        <f t="shared" si="110"/>
        <v/>
      </c>
      <c r="AJ209" s="135" t="str">
        <f t="shared" si="111"/>
        <v/>
      </c>
      <c r="AK209" s="31" t="str">
        <f t="shared" si="112"/>
        <v/>
      </c>
      <c r="AL209" s="31" t="str">
        <f t="shared" si="113"/>
        <v/>
      </c>
    </row>
    <row r="210" spans="4:38" x14ac:dyDescent="0.25">
      <c r="D210" s="5" t="str">
        <f>IFERROR(VLOOKUP(E210,'Chemical data ref sheet'!$A$1:$E$163,2,FALSE),"")</f>
        <v/>
      </c>
      <c r="E210" s="16"/>
      <c r="F210" s="5" t="str">
        <f>IFERROR(VLOOKUP(E210,'Chemical data ref sheet'!$A$1:$E$163,3,FALSE),"")</f>
        <v/>
      </c>
      <c r="G210" s="5"/>
      <c r="H210" s="5" t="str">
        <f>IFERROR(VLOOKUP(E210,'Chemical data ref sheet'!$A$1:$E$163,4,FALSE),"")</f>
        <v/>
      </c>
      <c r="I210" s="5" t="str">
        <f>IFERROR(VLOOKUP(E210,'Chemical data ref sheet'!$A$1:$E$163,5,FALSE),"")</f>
        <v/>
      </c>
      <c r="J210" s="7"/>
      <c r="K210" s="7"/>
      <c r="L210" s="290"/>
      <c r="M210" s="7"/>
      <c r="N210" s="7"/>
      <c r="O210" s="7"/>
      <c r="P210" s="133">
        <f>SUMIFS('Product samples'!E:E, 'Product samples'!A:A, B210)</f>
        <v>0</v>
      </c>
      <c r="Q210" s="134">
        <f t="shared" si="98"/>
        <v>0</v>
      </c>
      <c r="R210" s="57" t="str">
        <f t="shared" si="114"/>
        <v/>
      </c>
      <c r="S210" s="135" t="str">
        <f t="shared" si="115"/>
        <v/>
      </c>
      <c r="T210" s="132" t="str">
        <f t="shared" si="99"/>
        <v/>
      </c>
      <c r="U210" s="32" t="str">
        <f t="shared" si="100"/>
        <v/>
      </c>
      <c r="V210" s="135" t="str">
        <f t="shared" si="101"/>
        <v/>
      </c>
      <c r="W210" s="136" t="str">
        <f t="shared" si="102"/>
        <v/>
      </c>
      <c r="X210" s="136" t="str">
        <f t="shared" si="103"/>
        <v/>
      </c>
      <c r="Y210" s="136" t="str">
        <f t="shared" si="116"/>
        <v/>
      </c>
      <c r="Z210" s="136" t="str">
        <f t="shared" si="117"/>
        <v/>
      </c>
      <c r="AA210" s="137" t="str">
        <f t="shared" si="104"/>
        <v/>
      </c>
      <c r="AB210" s="135" t="str">
        <f t="shared" si="105"/>
        <v/>
      </c>
      <c r="AC210" s="135" t="str">
        <f t="shared" si="106"/>
        <v/>
      </c>
      <c r="AD210" s="136" t="str">
        <f t="shared" si="107"/>
        <v/>
      </c>
      <c r="AE210" s="136" t="str">
        <f t="shared" si="108"/>
        <v/>
      </c>
      <c r="AF210" s="136" t="str">
        <f t="shared" si="118"/>
        <v/>
      </c>
      <c r="AG210" s="136" t="str">
        <f t="shared" si="119"/>
        <v/>
      </c>
      <c r="AH210" s="137" t="str">
        <f t="shared" si="109"/>
        <v/>
      </c>
      <c r="AI210" s="135" t="str">
        <f t="shared" si="110"/>
        <v/>
      </c>
      <c r="AJ210" s="135" t="str">
        <f t="shared" si="111"/>
        <v/>
      </c>
      <c r="AK210" s="31" t="str">
        <f t="shared" si="112"/>
        <v/>
      </c>
      <c r="AL210" s="31" t="str">
        <f t="shared" si="113"/>
        <v/>
      </c>
    </row>
    <row r="211" spans="4:38" x14ac:dyDescent="0.25">
      <c r="D211" s="5" t="str">
        <f>IFERROR(VLOOKUP(E211,'Chemical data ref sheet'!$A$1:$E$163,2,FALSE),"")</f>
        <v/>
      </c>
      <c r="E211" s="16"/>
      <c r="F211" s="5" t="str">
        <f>IFERROR(VLOOKUP(E211,'Chemical data ref sheet'!$A$1:$E$163,3,FALSE),"")</f>
        <v/>
      </c>
      <c r="G211" s="5"/>
      <c r="H211" s="5" t="str">
        <f>IFERROR(VLOOKUP(E211,'Chemical data ref sheet'!$A$1:$E$163,4,FALSE),"")</f>
        <v/>
      </c>
      <c r="I211" s="5" t="str">
        <f>IFERROR(VLOOKUP(E211,'Chemical data ref sheet'!$A$1:$E$163,5,FALSE),"")</f>
        <v/>
      </c>
      <c r="J211" s="7"/>
      <c r="K211" s="7"/>
      <c r="L211" s="290"/>
      <c r="M211" s="7"/>
      <c r="N211" s="7"/>
      <c r="O211" s="7"/>
      <c r="P211" s="133">
        <f>SUMIFS('Product samples'!E:E, 'Product samples'!A:A, B211)</f>
        <v>0</v>
      </c>
      <c r="Q211" s="134">
        <f t="shared" si="98"/>
        <v>0</v>
      </c>
      <c r="R211" s="57" t="str">
        <f t="shared" si="114"/>
        <v/>
      </c>
      <c r="S211" s="135" t="str">
        <f t="shared" si="115"/>
        <v/>
      </c>
      <c r="T211" s="132" t="str">
        <f t="shared" si="99"/>
        <v/>
      </c>
      <c r="U211" s="32" t="str">
        <f t="shared" si="100"/>
        <v/>
      </c>
      <c r="V211" s="135" t="str">
        <f t="shared" si="101"/>
        <v/>
      </c>
      <c r="W211" s="136" t="str">
        <f t="shared" si="102"/>
        <v/>
      </c>
      <c r="X211" s="136" t="str">
        <f t="shared" si="103"/>
        <v/>
      </c>
      <c r="Y211" s="136" t="str">
        <f t="shared" si="116"/>
        <v/>
      </c>
      <c r="Z211" s="136" t="str">
        <f t="shared" si="117"/>
        <v/>
      </c>
      <c r="AA211" s="137" t="str">
        <f t="shared" si="104"/>
        <v/>
      </c>
      <c r="AB211" s="135" t="str">
        <f t="shared" si="105"/>
        <v/>
      </c>
      <c r="AC211" s="135" t="str">
        <f t="shared" si="106"/>
        <v/>
      </c>
      <c r="AD211" s="136" t="str">
        <f t="shared" si="107"/>
        <v/>
      </c>
      <c r="AE211" s="136" t="str">
        <f t="shared" si="108"/>
        <v/>
      </c>
      <c r="AF211" s="136" t="str">
        <f t="shared" si="118"/>
        <v/>
      </c>
      <c r="AG211" s="136" t="str">
        <f t="shared" si="119"/>
        <v/>
      </c>
      <c r="AH211" s="137" t="str">
        <f t="shared" si="109"/>
        <v/>
      </c>
      <c r="AI211" s="135" t="str">
        <f t="shared" si="110"/>
        <v/>
      </c>
      <c r="AJ211" s="135" t="str">
        <f t="shared" si="111"/>
        <v/>
      </c>
      <c r="AK211" s="31" t="str">
        <f t="shared" si="112"/>
        <v/>
      </c>
      <c r="AL211" s="31" t="str">
        <f t="shared" si="113"/>
        <v/>
      </c>
    </row>
    <row r="212" spans="4:38" x14ac:dyDescent="0.25">
      <c r="D212" s="5" t="str">
        <f>IFERROR(VLOOKUP(E212,'Chemical data ref sheet'!$A$1:$E$163,2,FALSE),"")</f>
        <v/>
      </c>
      <c r="E212" s="16"/>
      <c r="F212" s="5" t="str">
        <f>IFERROR(VLOOKUP(E212,'Chemical data ref sheet'!$A$1:$E$163,3,FALSE),"")</f>
        <v/>
      </c>
      <c r="G212" s="5"/>
      <c r="H212" s="5" t="str">
        <f>IFERROR(VLOOKUP(E212,'Chemical data ref sheet'!$A$1:$E$163,4,FALSE),"")</f>
        <v/>
      </c>
      <c r="I212" s="5" t="str">
        <f>IFERROR(VLOOKUP(E212,'Chemical data ref sheet'!$A$1:$E$163,5,FALSE),"")</f>
        <v/>
      </c>
      <c r="J212" s="7"/>
      <c r="K212" s="7"/>
      <c r="L212" s="290"/>
      <c r="M212" s="7"/>
      <c r="N212" s="7"/>
      <c r="O212" s="7"/>
      <c r="P212" s="133">
        <f>SUMIFS('Product samples'!E:E, 'Product samples'!A:A, B212)</f>
        <v>0</v>
      </c>
      <c r="Q212" s="134">
        <f t="shared" si="98"/>
        <v>0</v>
      </c>
      <c r="R212" s="57" t="str">
        <f t="shared" si="114"/>
        <v/>
      </c>
      <c r="S212" s="135" t="str">
        <f t="shared" si="115"/>
        <v/>
      </c>
      <c r="T212" s="132" t="str">
        <f t="shared" si="99"/>
        <v/>
      </c>
      <c r="U212" s="32" t="str">
        <f t="shared" si="100"/>
        <v/>
      </c>
      <c r="V212" s="135" t="str">
        <f t="shared" si="101"/>
        <v/>
      </c>
      <c r="W212" s="136" t="str">
        <f t="shared" si="102"/>
        <v/>
      </c>
      <c r="X212" s="136" t="str">
        <f t="shared" si="103"/>
        <v/>
      </c>
      <c r="Y212" s="136" t="str">
        <f t="shared" si="116"/>
        <v/>
      </c>
      <c r="Z212" s="136" t="str">
        <f t="shared" si="117"/>
        <v/>
      </c>
      <c r="AA212" s="137" t="str">
        <f t="shared" si="104"/>
        <v/>
      </c>
      <c r="AB212" s="135" t="str">
        <f t="shared" si="105"/>
        <v/>
      </c>
      <c r="AC212" s="135" t="str">
        <f t="shared" si="106"/>
        <v/>
      </c>
      <c r="AD212" s="136" t="str">
        <f t="shared" si="107"/>
        <v/>
      </c>
      <c r="AE212" s="136" t="str">
        <f t="shared" si="108"/>
        <v/>
      </c>
      <c r="AF212" s="136" t="str">
        <f t="shared" si="118"/>
        <v/>
      </c>
      <c r="AG212" s="136" t="str">
        <f t="shared" si="119"/>
        <v/>
      </c>
      <c r="AH212" s="137" t="str">
        <f t="shared" si="109"/>
        <v/>
      </c>
      <c r="AI212" s="135" t="str">
        <f t="shared" si="110"/>
        <v/>
      </c>
      <c r="AJ212" s="135" t="str">
        <f t="shared" si="111"/>
        <v/>
      </c>
      <c r="AK212" s="31" t="str">
        <f t="shared" si="112"/>
        <v/>
      </c>
      <c r="AL212" s="31" t="str">
        <f t="shared" si="113"/>
        <v/>
      </c>
    </row>
    <row r="213" spans="4:38" x14ac:dyDescent="0.25">
      <c r="D213" s="5" t="str">
        <f>IFERROR(VLOOKUP(E213,'Chemical data ref sheet'!$A$1:$E$163,2,FALSE),"")</f>
        <v/>
      </c>
      <c r="E213" s="16"/>
      <c r="F213" s="5" t="str">
        <f>IFERROR(VLOOKUP(E213,'Chemical data ref sheet'!$A$1:$E$163,3,FALSE),"")</f>
        <v/>
      </c>
      <c r="G213" s="5"/>
      <c r="H213" s="5" t="str">
        <f>IFERROR(VLOOKUP(E213,'Chemical data ref sheet'!$A$1:$E$163,4,FALSE),"")</f>
        <v/>
      </c>
      <c r="I213" s="5" t="str">
        <f>IFERROR(VLOOKUP(E213,'Chemical data ref sheet'!$A$1:$E$163,5,FALSE),"")</f>
        <v/>
      </c>
      <c r="J213" s="7"/>
      <c r="K213" s="7"/>
      <c r="L213" s="290"/>
      <c r="M213" s="7"/>
      <c r="N213" s="7"/>
      <c r="O213" s="7"/>
      <c r="P213" s="133">
        <f>SUMIFS('Product samples'!E:E, 'Product samples'!A:A, B213)</f>
        <v>0</v>
      </c>
      <c r="Q213" s="134">
        <f t="shared" si="98"/>
        <v>0</v>
      </c>
      <c r="R213" s="57" t="str">
        <f t="shared" si="114"/>
        <v/>
      </c>
      <c r="S213" s="135" t="str">
        <f t="shared" si="115"/>
        <v/>
      </c>
      <c r="T213" s="132" t="str">
        <f t="shared" si="99"/>
        <v/>
      </c>
      <c r="U213" s="32" t="str">
        <f t="shared" si="100"/>
        <v/>
      </c>
      <c r="V213" s="135" t="str">
        <f t="shared" si="101"/>
        <v/>
      </c>
      <c r="W213" s="136" t="str">
        <f t="shared" si="102"/>
        <v/>
      </c>
      <c r="X213" s="136" t="str">
        <f t="shared" si="103"/>
        <v/>
      </c>
      <c r="Y213" s="136" t="str">
        <f t="shared" si="116"/>
        <v/>
      </c>
      <c r="Z213" s="136" t="str">
        <f t="shared" si="117"/>
        <v/>
      </c>
      <c r="AA213" s="137" t="str">
        <f t="shared" si="104"/>
        <v/>
      </c>
      <c r="AB213" s="135" t="str">
        <f t="shared" si="105"/>
        <v/>
      </c>
      <c r="AC213" s="135" t="str">
        <f t="shared" si="106"/>
        <v/>
      </c>
      <c r="AD213" s="136" t="str">
        <f t="shared" si="107"/>
        <v/>
      </c>
      <c r="AE213" s="136" t="str">
        <f t="shared" si="108"/>
        <v/>
      </c>
      <c r="AF213" s="136" t="str">
        <f t="shared" si="118"/>
        <v/>
      </c>
      <c r="AG213" s="136" t="str">
        <f t="shared" si="119"/>
        <v/>
      </c>
      <c r="AH213" s="137" t="str">
        <f t="shared" si="109"/>
        <v/>
      </c>
      <c r="AI213" s="135" t="str">
        <f t="shared" si="110"/>
        <v/>
      </c>
      <c r="AJ213" s="135" t="str">
        <f t="shared" si="111"/>
        <v/>
      </c>
      <c r="AK213" s="31" t="str">
        <f t="shared" si="112"/>
        <v/>
      </c>
      <c r="AL213" s="31" t="str">
        <f t="shared" si="113"/>
        <v/>
      </c>
    </row>
    <row r="214" spans="4:38" x14ac:dyDescent="0.25">
      <c r="D214" s="5" t="str">
        <f>IFERROR(VLOOKUP(E214,'Chemical data ref sheet'!$A$1:$E$163,2,FALSE),"")</f>
        <v/>
      </c>
      <c r="E214" s="16"/>
      <c r="F214" s="5" t="str">
        <f>IFERROR(VLOOKUP(E214,'Chemical data ref sheet'!$A$1:$E$163,3,FALSE),"")</f>
        <v/>
      </c>
      <c r="G214" s="5"/>
      <c r="H214" s="5" t="str">
        <f>IFERROR(VLOOKUP(E214,'Chemical data ref sheet'!$A$1:$E$163,4,FALSE),"")</f>
        <v/>
      </c>
      <c r="I214" s="5" t="str">
        <f>IFERROR(VLOOKUP(E214,'Chemical data ref sheet'!$A$1:$E$163,5,FALSE),"")</f>
        <v/>
      </c>
      <c r="J214" s="7"/>
      <c r="K214" s="7"/>
      <c r="L214" s="290"/>
      <c r="M214" s="7"/>
      <c r="N214" s="7"/>
      <c r="O214" s="7"/>
      <c r="P214" s="133">
        <f>SUMIFS('Product samples'!E:E, 'Product samples'!A:A, B214)</f>
        <v>0</v>
      </c>
      <c r="Q214" s="134">
        <f t="shared" si="98"/>
        <v>0</v>
      </c>
      <c r="R214" s="57" t="str">
        <f t="shared" si="114"/>
        <v/>
      </c>
      <c r="S214" s="135" t="str">
        <f t="shared" si="115"/>
        <v/>
      </c>
      <c r="T214" s="132" t="str">
        <f t="shared" si="99"/>
        <v/>
      </c>
      <c r="U214" s="32" t="str">
        <f t="shared" si="100"/>
        <v/>
      </c>
      <c r="V214" s="135" t="str">
        <f t="shared" si="101"/>
        <v/>
      </c>
      <c r="W214" s="136" t="str">
        <f t="shared" si="102"/>
        <v/>
      </c>
      <c r="X214" s="136" t="str">
        <f t="shared" si="103"/>
        <v/>
      </c>
      <c r="Y214" s="136" t="str">
        <f t="shared" si="116"/>
        <v/>
      </c>
      <c r="Z214" s="136" t="str">
        <f t="shared" si="117"/>
        <v/>
      </c>
      <c r="AA214" s="137" t="str">
        <f t="shared" si="104"/>
        <v/>
      </c>
      <c r="AB214" s="135" t="str">
        <f t="shared" si="105"/>
        <v/>
      </c>
      <c r="AC214" s="135" t="str">
        <f t="shared" si="106"/>
        <v/>
      </c>
      <c r="AD214" s="136" t="str">
        <f t="shared" si="107"/>
        <v/>
      </c>
      <c r="AE214" s="136" t="str">
        <f t="shared" si="108"/>
        <v/>
      </c>
      <c r="AF214" s="136" t="str">
        <f t="shared" si="118"/>
        <v/>
      </c>
      <c r="AG214" s="136" t="str">
        <f t="shared" si="119"/>
        <v/>
      </c>
      <c r="AH214" s="137" t="str">
        <f t="shared" si="109"/>
        <v/>
      </c>
      <c r="AI214" s="135" t="str">
        <f t="shared" si="110"/>
        <v/>
      </c>
      <c r="AJ214" s="135" t="str">
        <f t="shared" si="111"/>
        <v/>
      </c>
      <c r="AK214" s="31" t="str">
        <f t="shared" si="112"/>
        <v/>
      </c>
      <c r="AL214" s="31" t="str">
        <f t="shared" si="113"/>
        <v/>
      </c>
    </row>
    <row r="215" spans="4:38" x14ac:dyDescent="0.25">
      <c r="D215" s="5" t="str">
        <f>IFERROR(VLOOKUP(E215,'Chemical data ref sheet'!$A$1:$E$163,2,FALSE),"")</f>
        <v/>
      </c>
      <c r="E215" s="16"/>
      <c r="F215" s="5" t="str">
        <f>IFERROR(VLOOKUP(E215,'Chemical data ref sheet'!$A$1:$E$163,3,FALSE),"")</f>
        <v/>
      </c>
      <c r="G215" s="5"/>
      <c r="H215" s="5" t="str">
        <f>IFERROR(VLOOKUP(E215,'Chemical data ref sheet'!$A$1:$E$163,4,FALSE),"")</f>
        <v/>
      </c>
      <c r="I215" s="5" t="str">
        <f>IFERROR(VLOOKUP(E215,'Chemical data ref sheet'!$A$1:$E$163,5,FALSE),"")</f>
        <v/>
      </c>
      <c r="J215" s="7"/>
      <c r="K215" s="7"/>
      <c r="L215" s="290"/>
      <c r="M215" s="7"/>
      <c r="N215" s="7"/>
      <c r="O215" s="7"/>
      <c r="P215" s="133">
        <f>SUMIFS('Product samples'!E:E, 'Product samples'!A:A, B215)</f>
        <v>0</v>
      </c>
      <c r="Q215" s="134">
        <f t="shared" si="98"/>
        <v>0</v>
      </c>
      <c r="R215" s="57" t="str">
        <f t="shared" si="114"/>
        <v/>
      </c>
      <c r="S215" s="135" t="str">
        <f t="shared" si="115"/>
        <v/>
      </c>
      <c r="T215" s="132" t="str">
        <f t="shared" si="99"/>
        <v/>
      </c>
      <c r="U215" s="32" t="str">
        <f t="shared" si="100"/>
        <v/>
      </c>
      <c r="V215" s="135" t="str">
        <f t="shared" si="101"/>
        <v/>
      </c>
      <c r="W215" s="136" t="str">
        <f t="shared" si="102"/>
        <v/>
      </c>
      <c r="X215" s="136" t="str">
        <f t="shared" si="103"/>
        <v/>
      </c>
      <c r="Y215" s="136" t="str">
        <f t="shared" si="116"/>
        <v/>
      </c>
      <c r="Z215" s="136" t="str">
        <f t="shared" si="117"/>
        <v/>
      </c>
      <c r="AA215" s="137" t="str">
        <f t="shared" si="104"/>
        <v/>
      </c>
      <c r="AB215" s="135" t="str">
        <f t="shared" si="105"/>
        <v/>
      </c>
      <c r="AC215" s="135" t="str">
        <f t="shared" si="106"/>
        <v/>
      </c>
      <c r="AD215" s="136" t="str">
        <f t="shared" si="107"/>
        <v/>
      </c>
      <c r="AE215" s="136" t="str">
        <f t="shared" si="108"/>
        <v/>
      </c>
      <c r="AF215" s="136" t="str">
        <f t="shared" si="118"/>
        <v/>
      </c>
      <c r="AG215" s="136" t="str">
        <f t="shared" si="119"/>
        <v/>
      </c>
      <c r="AH215" s="137" t="str">
        <f t="shared" si="109"/>
        <v/>
      </c>
      <c r="AI215" s="135" t="str">
        <f t="shared" si="110"/>
        <v/>
      </c>
      <c r="AJ215" s="135" t="str">
        <f t="shared" si="111"/>
        <v/>
      </c>
      <c r="AK215" s="31" t="str">
        <f t="shared" si="112"/>
        <v/>
      </c>
      <c r="AL215" s="31" t="str">
        <f t="shared" si="113"/>
        <v/>
      </c>
    </row>
    <row r="216" spans="4:38" x14ac:dyDescent="0.25">
      <c r="D216" s="5" t="str">
        <f>IFERROR(VLOOKUP(E216,'Chemical data ref sheet'!$A$1:$E$163,2,FALSE),"")</f>
        <v/>
      </c>
      <c r="E216" s="16"/>
      <c r="F216" s="5" t="str">
        <f>IFERROR(VLOOKUP(E216,'Chemical data ref sheet'!$A$1:$E$163,3,FALSE),"")</f>
        <v/>
      </c>
      <c r="G216" s="5"/>
      <c r="H216" s="5" t="str">
        <f>IFERROR(VLOOKUP(E216,'Chemical data ref sheet'!$A$1:$E$163,4,FALSE),"")</f>
        <v/>
      </c>
      <c r="I216" s="5" t="str">
        <f>IFERROR(VLOOKUP(E216,'Chemical data ref sheet'!$A$1:$E$163,5,FALSE),"")</f>
        <v/>
      </c>
      <c r="J216" s="7"/>
      <c r="K216" s="7"/>
      <c r="L216" s="290"/>
      <c r="M216" s="7"/>
      <c r="N216" s="7"/>
      <c r="O216" s="7"/>
      <c r="P216" s="133">
        <f>SUMIFS('Product samples'!E:E, 'Product samples'!A:A, B216)</f>
        <v>0</v>
      </c>
      <c r="Q216" s="134">
        <f t="shared" si="98"/>
        <v>0</v>
      </c>
      <c r="R216" s="57" t="str">
        <f t="shared" si="114"/>
        <v/>
      </c>
      <c r="S216" s="135" t="str">
        <f t="shared" si="115"/>
        <v/>
      </c>
      <c r="T216" s="132" t="str">
        <f t="shared" si="99"/>
        <v/>
      </c>
      <c r="U216" s="32" t="str">
        <f t="shared" si="100"/>
        <v/>
      </c>
      <c r="V216" s="135" t="str">
        <f t="shared" si="101"/>
        <v/>
      </c>
      <c r="W216" s="136" t="str">
        <f t="shared" si="102"/>
        <v/>
      </c>
      <c r="X216" s="136" t="str">
        <f t="shared" si="103"/>
        <v/>
      </c>
      <c r="Y216" s="136" t="str">
        <f t="shared" si="116"/>
        <v/>
      </c>
      <c r="Z216" s="136" t="str">
        <f t="shared" si="117"/>
        <v/>
      </c>
      <c r="AA216" s="137" t="str">
        <f t="shared" si="104"/>
        <v/>
      </c>
      <c r="AB216" s="135" t="str">
        <f t="shared" si="105"/>
        <v/>
      </c>
      <c r="AC216" s="135" t="str">
        <f t="shared" si="106"/>
        <v/>
      </c>
      <c r="AD216" s="136" t="str">
        <f t="shared" si="107"/>
        <v/>
      </c>
      <c r="AE216" s="136" t="str">
        <f t="shared" si="108"/>
        <v/>
      </c>
      <c r="AF216" s="136" t="str">
        <f t="shared" si="118"/>
        <v/>
      </c>
      <c r="AG216" s="136" t="str">
        <f t="shared" si="119"/>
        <v/>
      </c>
      <c r="AH216" s="137" t="str">
        <f t="shared" si="109"/>
        <v/>
      </c>
      <c r="AI216" s="135" t="str">
        <f t="shared" si="110"/>
        <v/>
      </c>
      <c r="AJ216" s="135" t="str">
        <f t="shared" si="111"/>
        <v/>
      </c>
      <c r="AK216" s="31" t="str">
        <f t="shared" si="112"/>
        <v/>
      </c>
      <c r="AL216" s="31" t="str">
        <f t="shared" si="113"/>
        <v/>
      </c>
    </row>
    <row r="217" spans="4:38" x14ac:dyDescent="0.25">
      <c r="D217" s="5" t="str">
        <f>IFERROR(VLOOKUP(E217,'Chemical data ref sheet'!$A$1:$E$163,2,FALSE),"")</f>
        <v/>
      </c>
      <c r="E217" s="16"/>
      <c r="F217" s="5" t="str">
        <f>IFERROR(VLOOKUP(E217,'Chemical data ref sheet'!$A$1:$E$163,3,FALSE),"")</f>
        <v/>
      </c>
      <c r="G217" s="5"/>
      <c r="H217" s="5" t="str">
        <f>IFERROR(VLOOKUP(E217,'Chemical data ref sheet'!$A$1:$E$163,4,FALSE),"")</f>
        <v/>
      </c>
      <c r="I217" s="5" t="str">
        <f>IFERROR(VLOOKUP(E217,'Chemical data ref sheet'!$A$1:$E$163,5,FALSE),"")</f>
        <v/>
      </c>
      <c r="J217" s="7"/>
      <c r="K217" s="7"/>
      <c r="L217" s="290"/>
      <c r="M217" s="7"/>
      <c r="N217" s="7"/>
      <c r="O217" s="7"/>
      <c r="P217" s="133">
        <f>SUMIFS('Product samples'!E:E, 'Product samples'!A:A, B217)</f>
        <v>0</v>
      </c>
      <c r="Q217" s="134">
        <f t="shared" si="98"/>
        <v>0</v>
      </c>
      <c r="R217" s="57" t="str">
        <f t="shared" si="114"/>
        <v/>
      </c>
      <c r="S217" s="135" t="str">
        <f t="shared" si="115"/>
        <v/>
      </c>
      <c r="T217" s="132" t="str">
        <f t="shared" si="99"/>
        <v/>
      </c>
      <c r="U217" s="32" t="str">
        <f t="shared" si="100"/>
        <v/>
      </c>
      <c r="V217" s="135" t="str">
        <f t="shared" si="101"/>
        <v/>
      </c>
      <c r="W217" s="136" t="str">
        <f t="shared" si="102"/>
        <v/>
      </c>
      <c r="X217" s="136" t="str">
        <f t="shared" si="103"/>
        <v/>
      </c>
      <c r="Y217" s="136" t="str">
        <f t="shared" si="116"/>
        <v/>
      </c>
      <c r="Z217" s="136" t="str">
        <f t="shared" si="117"/>
        <v/>
      </c>
      <c r="AA217" s="137" t="str">
        <f t="shared" si="104"/>
        <v/>
      </c>
      <c r="AB217" s="135" t="str">
        <f t="shared" si="105"/>
        <v/>
      </c>
      <c r="AC217" s="135" t="str">
        <f t="shared" si="106"/>
        <v/>
      </c>
      <c r="AD217" s="136" t="str">
        <f t="shared" si="107"/>
        <v/>
      </c>
      <c r="AE217" s="136" t="str">
        <f t="shared" si="108"/>
        <v/>
      </c>
      <c r="AF217" s="136" t="str">
        <f t="shared" si="118"/>
        <v/>
      </c>
      <c r="AG217" s="136" t="str">
        <f t="shared" si="119"/>
        <v/>
      </c>
      <c r="AH217" s="137" t="str">
        <f t="shared" si="109"/>
        <v/>
      </c>
      <c r="AI217" s="135" t="str">
        <f t="shared" si="110"/>
        <v/>
      </c>
      <c r="AJ217" s="135" t="str">
        <f t="shared" si="111"/>
        <v/>
      </c>
      <c r="AK217" s="31" t="str">
        <f t="shared" si="112"/>
        <v/>
      </c>
      <c r="AL217" s="31" t="str">
        <f t="shared" si="113"/>
        <v/>
      </c>
    </row>
    <row r="218" spans="4:38" x14ac:dyDescent="0.25">
      <c r="D218" s="5" t="str">
        <f>IFERROR(VLOOKUP(E218,'Chemical data ref sheet'!$A$1:$E$163,2,FALSE),"")</f>
        <v/>
      </c>
      <c r="E218" s="16"/>
      <c r="F218" s="5" t="str">
        <f>IFERROR(VLOOKUP(E218,'Chemical data ref sheet'!$A$1:$E$163,3,FALSE),"")</f>
        <v/>
      </c>
      <c r="G218" s="5"/>
      <c r="H218" s="5" t="str">
        <f>IFERROR(VLOOKUP(E218,'Chemical data ref sheet'!$A$1:$E$163,4,FALSE),"")</f>
        <v/>
      </c>
      <c r="I218" s="5" t="str">
        <f>IFERROR(VLOOKUP(E218,'Chemical data ref sheet'!$A$1:$E$163,5,FALSE),"")</f>
        <v/>
      </c>
      <c r="J218" s="7"/>
      <c r="K218" s="7"/>
      <c r="L218" s="290"/>
      <c r="M218" s="7"/>
      <c r="N218" s="7"/>
      <c r="O218" s="7"/>
      <c r="P218" s="133">
        <f>SUMIFS('Product samples'!E:E, 'Product samples'!A:A, B218)</f>
        <v>0</v>
      </c>
      <c r="Q218" s="134">
        <f t="shared" si="98"/>
        <v>0</v>
      </c>
      <c r="R218" s="57" t="str">
        <f t="shared" si="114"/>
        <v/>
      </c>
      <c r="S218" s="135" t="str">
        <f t="shared" si="115"/>
        <v/>
      </c>
      <c r="T218" s="132" t="str">
        <f t="shared" si="99"/>
        <v/>
      </c>
      <c r="U218" s="32" t="str">
        <f t="shared" si="100"/>
        <v/>
      </c>
      <c r="V218" s="135" t="str">
        <f t="shared" si="101"/>
        <v/>
      </c>
      <c r="W218" s="136" t="str">
        <f t="shared" si="102"/>
        <v/>
      </c>
      <c r="X218" s="136" t="str">
        <f t="shared" si="103"/>
        <v/>
      </c>
      <c r="Y218" s="136" t="str">
        <f t="shared" si="116"/>
        <v/>
      </c>
      <c r="Z218" s="136" t="str">
        <f t="shared" si="117"/>
        <v/>
      </c>
      <c r="AA218" s="137" t="str">
        <f t="shared" si="104"/>
        <v/>
      </c>
      <c r="AB218" s="135" t="str">
        <f t="shared" si="105"/>
        <v/>
      </c>
      <c r="AC218" s="135" t="str">
        <f t="shared" si="106"/>
        <v/>
      </c>
      <c r="AD218" s="136" t="str">
        <f t="shared" si="107"/>
        <v/>
      </c>
      <c r="AE218" s="136" t="str">
        <f t="shared" si="108"/>
        <v/>
      </c>
      <c r="AF218" s="136" t="str">
        <f t="shared" si="118"/>
        <v/>
      </c>
      <c r="AG218" s="136" t="str">
        <f t="shared" si="119"/>
        <v/>
      </c>
      <c r="AH218" s="137" t="str">
        <f t="shared" si="109"/>
        <v/>
      </c>
      <c r="AI218" s="135" t="str">
        <f t="shared" si="110"/>
        <v/>
      </c>
      <c r="AJ218" s="135" t="str">
        <f t="shared" si="111"/>
        <v/>
      </c>
      <c r="AK218" s="31" t="str">
        <f t="shared" si="112"/>
        <v/>
      </c>
      <c r="AL218" s="31" t="str">
        <f t="shared" si="113"/>
        <v/>
      </c>
    </row>
    <row r="219" spans="4:38" x14ac:dyDescent="0.25">
      <c r="D219" s="5" t="str">
        <f>IFERROR(VLOOKUP(E219,'Chemical data ref sheet'!$A$1:$E$163,2,FALSE),"")</f>
        <v/>
      </c>
      <c r="E219" s="16"/>
      <c r="F219" s="5" t="str">
        <f>IFERROR(VLOOKUP(E219,'Chemical data ref sheet'!$A$1:$E$163,3,FALSE),"")</f>
        <v/>
      </c>
      <c r="G219" s="5"/>
      <c r="H219" s="5" t="str">
        <f>IFERROR(VLOOKUP(E219,'Chemical data ref sheet'!$A$1:$E$163,4,FALSE),"")</f>
        <v/>
      </c>
      <c r="I219" s="5" t="str">
        <f>IFERROR(VLOOKUP(E219,'Chemical data ref sheet'!$A$1:$E$163,5,FALSE),"")</f>
        <v/>
      </c>
      <c r="J219" s="7"/>
      <c r="K219" s="7"/>
      <c r="L219" s="290"/>
      <c r="M219" s="7"/>
      <c r="N219" s="7"/>
      <c r="O219" s="7"/>
      <c r="P219" s="133">
        <f>SUMIFS('Product samples'!E:E, 'Product samples'!A:A, B219)</f>
        <v>0</v>
      </c>
      <c r="Q219" s="134">
        <f t="shared" si="98"/>
        <v>0</v>
      </c>
      <c r="R219" s="57" t="str">
        <f t="shared" si="114"/>
        <v/>
      </c>
      <c r="S219" s="135" t="str">
        <f t="shared" si="115"/>
        <v/>
      </c>
      <c r="T219" s="132" t="str">
        <f t="shared" si="99"/>
        <v/>
      </c>
      <c r="U219" s="32" t="str">
        <f t="shared" si="100"/>
        <v/>
      </c>
      <c r="V219" s="135" t="str">
        <f t="shared" si="101"/>
        <v/>
      </c>
      <c r="W219" s="136" t="str">
        <f t="shared" si="102"/>
        <v/>
      </c>
      <c r="X219" s="136" t="str">
        <f t="shared" si="103"/>
        <v/>
      </c>
      <c r="Y219" s="136" t="str">
        <f t="shared" si="116"/>
        <v/>
      </c>
      <c r="Z219" s="136" t="str">
        <f t="shared" si="117"/>
        <v/>
      </c>
      <c r="AA219" s="137" t="str">
        <f t="shared" si="104"/>
        <v/>
      </c>
      <c r="AB219" s="135" t="str">
        <f t="shared" si="105"/>
        <v/>
      </c>
      <c r="AC219" s="135" t="str">
        <f t="shared" si="106"/>
        <v/>
      </c>
      <c r="AD219" s="136" t="str">
        <f t="shared" si="107"/>
        <v/>
      </c>
      <c r="AE219" s="136" t="str">
        <f t="shared" si="108"/>
        <v/>
      </c>
      <c r="AF219" s="136" t="str">
        <f t="shared" si="118"/>
        <v/>
      </c>
      <c r="AG219" s="136" t="str">
        <f t="shared" si="119"/>
        <v/>
      </c>
      <c r="AH219" s="137" t="str">
        <f t="shared" si="109"/>
        <v/>
      </c>
      <c r="AI219" s="135" t="str">
        <f t="shared" si="110"/>
        <v/>
      </c>
      <c r="AJ219" s="135" t="str">
        <f t="shared" si="111"/>
        <v/>
      </c>
      <c r="AK219" s="31" t="str">
        <f t="shared" si="112"/>
        <v/>
      </c>
      <c r="AL219" s="31" t="str">
        <f t="shared" si="113"/>
        <v/>
      </c>
    </row>
    <row r="220" spans="4:38" x14ac:dyDescent="0.25">
      <c r="D220" s="5" t="str">
        <f>IFERROR(VLOOKUP(E220,'Chemical data ref sheet'!$A$1:$E$163,2,FALSE),"")</f>
        <v/>
      </c>
      <c r="E220" s="16"/>
      <c r="F220" s="5" t="str">
        <f>IFERROR(VLOOKUP(E220,'Chemical data ref sheet'!$A$1:$E$163,3,FALSE),"")</f>
        <v/>
      </c>
      <c r="G220" s="5"/>
      <c r="H220" s="5" t="str">
        <f>IFERROR(VLOOKUP(E220,'Chemical data ref sheet'!$A$1:$E$163,4,FALSE),"")</f>
        <v/>
      </c>
      <c r="I220" s="5" t="str">
        <f>IFERROR(VLOOKUP(E220,'Chemical data ref sheet'!$A$1:$E$163,5,FALSE),"")</f>
        <v/>
      </c>
      <c r="J220" s="7"/>
      <c r="K220" s="7"/>
      <c r="L220" s="290"/>
      <c r="M220" s="7"/>
      <c r="N220" s="7"/>
      <c r="O220" s="7"/>
      <c r="P220" s="133">
        <f>SUMIFS('Product samples'!E:E, 'Product samples'!A:A, B220)</f>
        <v>0</v>
      </c>
      <c r="Q220" s="134">
        <f t="shared" si="98"/>
        <v>0</v>
      </c>
      <c r="R220" s="57" t="str">
        <f t="shared" si="114"/>
        <v/>
      </c>
      <c r="S220" s="135" t="str">
        <f t="shared" si="115"/>
        <v/>
      </c>
      <c r="T220" s="132" t="str">
        <f t="shared" si="99"/>
        <v/>
      </c>
      <c r="U220" s="32" t="str">
        <f t="shared" si="100"/>
        <v/>
      </c>
      <c r="V220" s="135" t="str">
        <f t="shared" si="101"/>
        <v/>
      </c>
      <c r="W220" s="136" t="str">
        <f t="shared" si="102"/>
        <v/>
      </c>
      <c r="X220" s="136" t="str">
        <f t="shared" si="103"/>
        <v/>
      </c>
      <c r="Y220" s="136" t="str">
        <f t="shared" si="116"/>
        <v/>
      </c>
      <c r="Z220" s="136" t="str">
        <f t="shared" si="117"/>
        <v/>
      </c>
      <c r="AA220" s="137" t="str">
        <f t="shared" si="104"/>
        <v/>
      </c>
      <c r="AB220" s="135" t="str">
        <f t="shared" si="105"/>
        <v/>
      </c>
      <c r="AC220" s="135" t="str">
        <f t="shared" si="106"/>
        <v/>
      </c>
      <c r="AD220" s="136" t="str">
        <f t="shared" si="107"/>
        <v/>
      </c>
      <c r="AE220" s="136" t="str">
        <f t="shared" si="108"/>
        <v/>
      </c>
      <c r="AF220" s="136" t="str">
        <f t="shared" si="118"/>
        <v/>
      </c>
      <c r="AG220" s="136" t="str">
        <f t="shared" si="119"/>
        <v/>
      </c>
      <c r="AH220" s="137" t="str">
        <f t="shared" si="109"/>
        <v/>
      </c>
      <c r="AI220" s="135" t="str">
        <f t="shared" si="110"/>
        <v/>
      </c>
      <c r="AJ220" s="135" t="str">
        <f t="shared" si="111"/>
        <v/>
      </c>
      <c r="AK220" s="31" t="str">
        <f t="shared" si="112"/>
        <v/>
      </c>
      <c r="AL220" s="31" t="str">
        <f t="shared" si="113"/>
        <v/>
      </c>
    </row>
    <row r="221" spans="4:38" x14ac:dyDescent="0.25">
      <c r="D221" s="5" t="str">
        <f>IFERROR(VLOOKUP(E221,'Chemical data ref sheet'!$A$1:$E$163,2,FALSE),"")</f>
        <v/>
      </c>
      <c r="E221" s="16"/>
      <c r="F221" s="5" t="str">
        <f>IFERROR(VLOOKUP(E221,'Chemical data ref sheet'!$A$1:$E$163,3,FALSE),"")</f>
        <v/>
      </c>
      <c r="G221" s="5"/>
      <c r="H221" s="5" t="str">
        <f>IFERROR(VLOOKUP(E221,'Chemical data ref sheet'!$A$1:$E$163,4,FALSE),"")</f>
        <v/>
      </c>
      <c r="I221" s="5" t="str">
        <f>IFERROR(VLOOKUP(E221,'Chemical data ref sheet'!$A$1:$E$163,5,FALSE),"")</f>
        <v/>
      </c>
      <c r="J221" s="7"/>
      <c r="K221" s="7"/>
      <c r="L221" s="290"/>
      <c r="M221" s="7"/>
      <c r="N221" s="7"/>
      <c r="O221" s="7"/>
      <c r="P221" s="133">
        <f>SUMIFS('Product samples'!E:E, 'Product samples'!A:A, B221)</f>
        <v>0</v>
      </c>
      <c r="Q221" s="134">
        <f t="shared" si="98"/>
        <v>0</v>
      </c>
      <c r="R221" s="57" t="str">
        <f t="shared" si="114"/>
        <v/>
      </c>
      <c r="S221" s="135" t="str">
        <f t="shared" si="115"/>
        <v/>
      </c>
      <c r="T221" s="132" t="str">
        <f t="shared" si="99"/>
        <v/>
      </c>
      <c r="U221" s="32" t="str">
        <f t="shared" si="100"/>
        <v/>
      </c>
      <c r="V221" s="135" t="str">
        <f t="shared" si="101"/>
        <v/>
      </c>
      <c r="W221" s="136" t="str">
        <f t="shared" si="102"/>
        <v/>
      </c>
      <c r="X221" s="136" t="str">
        <f t="shared" si="103"/>
        <v/>
      </c>
      <c r="Y221" s="136" t="str">
        <f t="shared" si="116"/>
        <v/>
      </c>
      <c r="Z221" s="136" t="str">
        <f t="shared" si="117"/>
        <v/>
      </c>
      <c r="AA221" s="137" t="str">
        <f t="shared" si="104"/>
        <v/>
      </c>
      <c r="AB221" s="135" t="str">
        <f t="shared" si="105"/>
        <v/>
      </c>
      <c r="AC221" s="135" t="str">
        <f t="shared" si="106"/>
        <v/>
      </c>
      <c r="AD221" s="136" t="str">
        <f t="shared" si="107"/>
        <v/>
      </c>
      <c r="AE221" s="136" t="str">
        <f t="shared" si="108"/>
        <v/>
      </c>
      <c r="AF221" s="136" t="str">
        <f t="shared" si="118"/>
        <v/>
      </c>
      <c r="AG221" s="136" t="str">
        <f t="shared" si="119"/>
        <v/>
      </c>
      <c r="AH221" s="137" t="str">
        <f t="shared" si="109"/>
        <v/>
      </c>
      <c r="AI221" s="135" t="str">
        <f t="shared" si="110"/>
        <v/>
      </c>
      <c r="AJ221" s="135" t="str">
        <f t="shared" si="111"/>
        <v/>
      </c>
      <c r="AK221" s="31" t="str">
        <f t="shared" si="112"/>
        <v/>
      </c>
      <c r="AL221" s="31" t="str">
        <f t="shared" si="113"/>
        <v/>
      </c>
    </row>
    <row r="222" spans="4:38" x14ac:dyDescent="0.25">
      <c r="D222" s="5" t="str">
        <f>IFERROR(VLOOKUP(E222,'Chemical data ref sheet'!$A$1:$E$163,2,FALSE),"")</f>
        <v/>
      </c>
      <c r="E222" s="16"/>
      <c r="F222" s="5" t="str">
        <f>IFERROR(VLOOKUP(E222,'Chemical data ref sheet'!$A$1:$E$163,3,FALSE),"")</f>
        <v/>
      </c>
      <c r="G222" s="5"/>
      <c r="H222" s="5" t="str">
        <f>IFERROR(VLOOKUP(E222,'Chemical data ref sheet'!$A$1:$E$163,4,FALSE),"")</f>
        <v/>
      </c>
      <c r="I222" s="5" t="str">
        <f>IFERROR(VLOOKUP(E222,'Chemical data ref sheet'!$A$1:$E$163,5,FALSE),"")</f>
        <v/>
      </c>
      <c r="J222" s="7"/>
      <c r="K222" s="7"/>
      <c r="L222" s="290"/>
      <c r="M222" s="7"/>
      <c r="N222" s="7"/>
      <c r="O222" s="7"/>
      <c r="P222" s="133">
        <f>SUMIFS('Product samples'!E:E, 'Product samples'!A:A, B222)</f>
        <v>0</v>
      </c>
      <c r="Q222" s="134">
        <f t="shared" si="98"/>
        <v>0</v>
      </c>
      <c r="R222" s="57" t="str">
        <f t="shared" si="114"/>
        <v/>
      </c>
      <c r="S222" s="135" t="str">
        <f t="shared" si="115"/>
        <v/>
      </c>
      <c r="T222" s="132" t="str">
        <f t="shared" si="99"/>
        <v/>
      </c>
      <c r="U222" s="32" t="str">
        <f t="shared" si="100"/>
        <v/>
      </c>
      <c r="V222" s="135" t="str">
        <f t="shared" si="101"/>
        <v/>
      </c>
      <c r="W222" s="136" t="str">
        <f t="shared" si="102"/>
        <v/>
      </c>
      <c r="X222" s="136" t="str">
        <f t="shared" si="103"/>
        <v/>
      </c>
      <c r="Y222" s="136" t="str">
        <f t="shared" si="116"/>
        <v/>
      </c>
      <c r="Z222" s="136" t="str">
        <f t="shared" si="117"/>
        <v/>
      </c>
      <c r="AA222" s="137" t="str">
        <f t="shared" si="104"/>
        <v/>
      </c>
      <c r="AB222" s="135" t="str">
        <f t="shared" si="105"/>
        <v/>
      </c>
      <c r="AC222" s="135" t="str">
        <f t="shared" si="106"/>
        <v/>
      </c>
      <c r="AD222" s="136" t="str">
        <f t="shared" si="107"/>
        <v/>
      </c>
      <c r="AE222" s="136" t="str">
        <f t="shared" si="108"/>
        <v/>
      </c>
      <c r="AF222" s="136" t="str">
        <f t="shared" si="118"/>
        <v/>
      </c>
      <c r="AG222" s="136" t="str">
        <f t="shared" si="119"/>
        <v/>
      </c>
      <c r="AH222" s="137" t="str">
        <f t="shared" si="109"/>
        <v/>
      </c>
      <c r="AI222" s="135" t="str">
        <f t="shared" si="110"/>
        <v/>
      </c>
      <c r="AJ222" s="135" t="str">
        <f t="shared" si="111"/>
        <v/>
      </c>
      <c r="AK222" s="31" t="str">
        <f t="shared" si="112"/>
        <v/>
      </c>
      <c r="AL222" s="31" t="str">
        <f t="shared" si="113"/>
        <v/>
      </c>
    </row>
    <row r="223" spans="4:38" x14ac:dyDescent="0.25">
      <c r="D223" s="5" t="str">
        <f>IFERROR(VLOOKUP(E223,'Chemical data ref sheet'!$A$1:$E$163,2,FALSE),"")</f>
        <v/>
      </c>
      <c r="E223" s="16"/>
      <c r="F223" s="5" t="str">
        <f>IFERROR(VLOOKUP(E223,'Chemical data ref sheet'!$A$1:$E$163,3,FALSE),"")</f>
        <v/>
      </c>
      <c r="G223" s="5"/>
      <c r="H223" s="5" t="str">
        <f>IFERROR(VLOOKUP(E223,'Chemical data ref sheet'!$A$1:$E$163,4,FALSE),"")</f>
        <v/>
      </c>
      <c r="I223" s="5" t="str">
        <f>IFERROR(VLOOKUP(E223,'Chemical data ref sheet'!$A$1:$E$163,5,FALSE),"")</f>
        <v/>
      </c>
      <c r="J223" s="7"/>
      <c r="K223" s="7"/>
      <c r="L223" s="290"/>
      <c r="M223" s="7"/>
      <c r="N223" s="7"/>
      <c r="O223" s="7"/>
      <c r="P223" s="133">
        <f>SUMIFS('Product samples'!E:E, 'Product samples'!A:A, B223)</f>
        <v>0</v>
      </c>
      <c r="Q223" s="134">
        <f t="shared" si="98"/>
        <v>0</v>
      </c>
      <c r="R223" s="57" t="str">
        <f t="shared" si="114"/>
        <v/>
      </c>
      <c r="S223" s="135" t="str">
        <f t="shared" si="115"/>
        <v/>
      </c>
      <c r="T223" s="132" t="str">
        <f t="shared" si="99"/>
        <v/>
      </c>
      <c r="U223" s="32" t="str">
        <f t="shared" si="100"/>
        <v/>
      </c>
      <c r="V223" s="135" t="str">
        <f t="shared" si="101"/>
        <v/>
      </c>
      <c r="W223" s="136" t="str">
        <f t="shared" si="102"/>
        <v/>
      </c>
      <c r="X223" s="136" t="str">
        <f t="shared" si="103"/>
        <v/>
      </c>
      <c r="Y223" s="136" t="str">
        <f t="shared" si="116"/>
        <v/>
      </c>
      <c r="Z223" s="136" t="str">
        <f t="shared" si="117"/>
        <v/>
      </c>
      <c r="AA223" s="137" t="str">
        <f t="shared" si="104"/>
        <v/>
      </c>
      <c r="AB223" s="135" t="str">
        <f t="shared" si="105"/>
        <v/>
      </c>
      <c r="AC223" s="135" t="str">
        <f t="shared" si="106"/>
        <v/>
      </c>
      <c r="AD223" s="136" t="str">
        <f t="shared" si="107"/>
        <v/>
      </c>
      <c r="AE223" s="136" t="str">
        <f t="shared" si="108"/>
        <v/>
      </c>
      <c r="AF223" s="136" t="str">
        <f t="shared" si="118"/>
        <v/>
      </c>
      <c r="AG223" s="136" t="str">
        <f t="shared" si="119"/>
        <v/>
      </c>
      <c r="AH223" s="137" t="str">
        <f t="shared" si="109"/>
        <v/>
      </c>
      <c r="AI223" s="135" t="str">
        <f t="shared" si="110"/>
        <v/>
      </c>
      <c r="AJ223" s="135" t="str">
        <f t="shared" si="111"/>
        <v/>
      </c>
      <c r="AK223" s="31" t="str">
        <f t="shared" si="112"/>
        <v/>
      </c>
      <c r="AL223" s="31" t="str">
        <f t="shared" si="113"/>
        <v/>
      </c>
    </row>
    <row r="224" spans="4:38" x14ac:dyDescent="0.25">
      <c r="D224" s="5" t="str">
        <f>IFERROR(VLOOKUP(E224,'Chemical data ref sheet'!$A$1:$E$163,2,FALSE),"")</f>
        <v/>
      </c>
      <c r="E224" s="16"/>
      <c r="F224" s="5" t="str">
        <f>IFERROR(VLOOKUP(E224,'Chemical data ref sheet'!$A$1:$E$163,3,FALSE),"")</f>
        <v/>
      </c>
      <c r="G224" s="5"/>
      <c r="H224" s="5" t="str">
        <f>IFERROR(VLOOKUP(E224,'Chemical data ref sheet'!$A$1:$E$163,4,FALSE),"")</f>
        <v/>
      </c>
      <c r="I224" s="5" t="str">
        <f>IFERROR(VLOOKUP(E224,'Chemical data ref sheet'!$A$1:$E$163,5,FALSE),"")</f>
        <v/>
      </c>
      <c r="J224" s="7"/>
      <c r="K224" s="7"/>
      <c r="L224" s="290"/>
      <c r="M224" s="7"/>
      <c r="N224" s="7"/>
      <c r="O224" s="7"/>
      <c r="P224" s="133">
        <f>SUMIFS('Product samples'!E:E, 'Product samples'!A:A, B224)</f>
        <v>0</v>
      </c>
      <c r="Q224" s="134">
        <f t="shared" si="98"/>
        <v>0</v>
      </c>
      <c r="R224" s="57" t="str">
        <f t="shared" si="114"/>
        <v/>
      </c>
      <c r="S224" s="135" t="str">
        <f t="shared" si="115"/>
        <v/>
      </c>
      <c r="T224" s="132" t="str">
        <f t="shared" si="99"/>
        <v/>
      </c>
      <c r="U224" s="32" t="str">
        <f t="shared" si="100"/>
        <v/>
      </c>
      <c r="V224" s="135" t="str">
        <f t="shared" si="101"/>
        <v/>
      </c>
      <c r="W224" s="136" t="str">
        <f t="shared" si="102"/>
        <v/>
      </c>
      <c r="X224" s="136" t="str">
        <f t="shared" si="103"/>
        <v/>
      </c>
      <c r="Y224" s="136" t="str">
        <f t="shared" si="116"/>
        <v/>
      </c>
      <c r="Z224" s="136" t="str">
        <f t="shared" si="117"/>
        <v/>
      </c>
      <c r="AA224" s="137" t="str">
        <f t="shared" si="104"/>
        <v/>
      </c>
      <c r="AB224" s="135" t="str">
        <f t="shared" si="105"/>
        <v/>
      </c>
      <c r="AC224" s="135" t="str">
        <f t="shared" si="106"/>
        <v/>
      </c>
      <c r="AD224" s="136" t="str">
        <f t="shared" si="107"/>
        <v/>
      </c>
      <c r="AE224" s="136" t="str">
        <f t="shared" si="108"/>
        <v/>
      </c>
      <c r="AF224" s="136" t="str">
        <f t="shared" si="118"/>
        <v/>
      </c>
      <c r="AG224" s="136" t="str">
        <f t="shared" si="119"/>
        <v/>
      </c>
      <c r="AH224" s="137" t="str">
        <f t="shared" si="109"/>
        <v/>
      </c>
      <c r="AI224" s="135" t="str">
        <f t="shared" si="110"/>
        <v/>
      </c>
      <c r="AJ224" s="135" t="str">
        <f t="shared" si="111"/>
        <v/>
      </c>
      <c r="AK224" s="31" t="str">
        <f t="shared" si="112"/>
        <v/>
      </c>
      <c r="AL224" s="31" t="str">
        <f t="shared" si="113"/>
        <v/>
      </c>
    </row>
    <row r="225" spans="4:38" x14ac:dyDescent="0.25">
      <c r="D225" s="5" t="str">
        <f>IFERROR(VLOOKUP(E225,'Chemical data ref sheet'!$A$1:$E$163,2,FALSE),"")</f>
        <v/>
      </c>
      <c r="E225" s="16"/>
      <c r="F225" s="5" t="str">
        <f>IFERROR(VLOOKUP(E225,'Chemical data ref sheet'!$A$1:$E$163,3,FALSE),"")</f>
        <v/>
      </c>
      <c r="G225" s="5"/>
      <c r="H225" s="5" t="str">
        <f>IFERROR(VLOOKUP(E225,'Chemical data ref sheet'!$A$1:$E$163,4,FALSE),"")</f>
        <v/>
      </c>
      <c r="I225" s="5" t="str">
        <f>IFERROR(VLOOKUP(E225,'Chemical data ref sheet'!$A$1:$E$163,5,FALSE),"")</f>
        <v/>
      </c>
      <c r="J225" s="7"/>
      <c r="K225" s="7"/>
      <c r="L225" s="290"/>
      <c r="M225" s="7"/>
      <c r="N225" s="7"/>
      <c r="O225" s="7"/>
      <c r="P225" s="133">
        <f>SUMIFS('Product samples'!E:E, 'Product samples'!A:A, B225)</f>
        <v>0</v>
      </c>
      <c r="Q225" s="134">
        <f t="shared" si="98"/>
        <v>0</v>
      </c>
      <c r="R225" s="57" t="str">
        <f t="shared" si="114"/>
        <v/>
      </c>
      <c r="S225" s="135" t="str">
        <f t="shared" si="115"/>
        <v/>
      </c>
      <c r="T225" s="132" t="str">
        <f t="shared" si="99"/>
        <v/>
      </c>
      <c r="U225" s="32" t="str">
        <f t="shared" si="100"/>
        <v/>
      </c>
      <c r="V225" s="135" t="str">
        <f t="shared" si="101"/>
        <v/>
      </c>
      <c r="W225" s="136" t="str">
        <f t="shared" si="102"/>
        <v/>
      </c>
      <c r="X225" s="136" t="str">
        <f t="shared" si="103"/>
        <v/>
      </c>
      <c r="Y225" s="136" t="str">
        <f t="shared" si="116"/>
        <v/>
      </c>
      <c r="Z225" s="136" t="str">
        <f t="shared" si="117"/>
        <v/>
      </c>
      <c r="AA225" s="137" t="str">
        <f t="shared" si="104"/>
        <v/>
      </c>
      <c r="AB225" s="135" t="str">
        <f t="shared" si="105"/>
        <v/>
      </c>
      <c r="AC225" s="135" t="str">
        <f t="shared" si="106"/>
        <v/>
      </c>
      <c r="AD225" s="136" t="str">
        <f t="shared" si="107"/>
        <v/>
      </c>
      <c r="AE225" s="136" t="str">
        <f t="shared" si="108"/>
        <v/>
      </c>
      <c r="AF225" s="136" t="str">
        <f t="shared" si="118"/>
        <v/>
      </c>
      <c r="AG225" s="136" t="str">
        <f t="shared" si="119"/>
        <v/>
      </c>
      <c r="AH225" s="137" t="str">
        <f t="shared" si="109"/>
        <v/>
      </c>
      <c r="AI225" s="135" t="str">
        <f t="shared" si="110"/>
        <v/>
      </c>
      <c r="AJ225" s="135" t="str">
        <f t="shared" si="111"/>
        <v/>
      </c>
      <c r="AK225" s="31" t="str">
        <f t="shared" si="112"/>
        <v/>
      </c>
      <c r="AL225" s="31" t="str">
        <f t="shared" si="113"/>
        <v/>
      </c>
    </row>
    <row r="226" spans="4:38" x14ac:dyDescent="0.25">
      <c r="D226" s="5" t="str">
        <f>IFERROR(VLOOKUP(E226,'Chemical data ref sheet'!$A$1:$E$163,2,FALSE),"")</f>
        <v/>
      </c>
      <c r="E226" s="16"/>
      <c r="F226" s="5" t="str">
        <f>IFERROR(VLOOKUP(E226,'Chemical data ref sheet'!$A$1:$E$163,3,FALSE),"")</f>
        <v/>
      </c>
      <c r="G226" s="5"/>
      <c r="H226" s="5" t="str">
        <f>IFERROR(VLOOKUP(E226,'Chemical data ref sheet'!$A$1:$E$163,4,FALSE),"")</f>
        <v/>
      </c>
      <c r="I226" s="5" t="str">
        <f>IFERROR(VLOOKUP(E226,'Chemical data ref sheet'!$A$1:$E$163,5,FALSE),"")</f>
        <v/>
      </c>
      <c r="J226" s="7"/>
      <c r="K226" s="7"/>
      <c r="L226" s="290"/>
      <c r="M226" s="7"/>
      <c r="N226" s="7"/>
      <c r="O226" s="7"/>
      <c r="P226" s="133">
        <f>SUMIFS('Product samples'!E:E, 'Product samples'!A:A, B226)</f>
        <v>0</v>
      </c>
      <c r="Q226" s="134">
        <f t="shared" si="98"/>
        <v>0</v>
      </c>
      <c r="R226" s="57" t="str">
        <f t="shared" si="114"/>
        <v/>
      </c>
      <c r="S226" s="135" t="str">
        <f t="shared" si="115"/>
        <v/>
      </c>
      <c r="T226" s="132" t="str">
        <f t="shared" si="99"/>
        <v/>
      </c>
      <c r="U226" s="32" t="str">
        <f t="shared" si="100"/>
        <v/>
      </c>
      <c r="V226" s="135" t="str">
        <f t="shared" si="101"/>
        <v/>
      </c>
      <c r="W226" s="136" t="str">
        <f t="shared" si="102"/>
        <v/>
      </c>
      <c r="X226" s="136" t="str">
        <f t="shared" si="103"/>
        <v/>
      </c>
      <c r="Y226" s="136" t="str">
        <f t="shared" si="116"/>
        <v/>
      </c>
      <c r="Z226" s="136" t="str">
        <f t="shared" si="117"/>
        <v/>
      </c>
      <c r="AA226" s="137" t="str">
        <f t="shared" si="104"/>
        <v/>
      </c>
      <c r="AB226" s="135" t="str">
        <f t="shared" si="105"/>
        <v/>
      </c>
      <c r="AC226" s="135" t="str">
        <f t="shared" si="106"/>
        <v/>
      </c>
      <c r="AD226" s="136" t="str">
        <f t="shared" si="107"/>
        <v/>
      </c>
      <c r="AE226" s="136" t="str">
        <f t="shared" si="108"/>
        <v/>
      </c>
      <c r="AF226" s="136" t="str">
        <f t="shared" si="118"/>
        <v/>
      </c>
      <c r="AG226" s="136" t="str">
        <f t="shared" si="119"/>
        <v/>
      </c>
      <c r="AH226" s="137" t="str">
        <f t="shared" si="109"/>
        <v/>
      </c>
      <c r="AI226" s="135" t="str">
        <f t="shared" si="110"/>
        <v/>
      </c>
      <c r="AJ226" s="135" t="str">
        <f t="shared" si="111"/>
        <v/>
      </c>
      <c r="AK226" s="31" t="str">
        <f t="shared" si="112"/>
        <v/>
      </c>
      <c r="AL226" s="31" t="str">
        <f t="shared" si="113"/>
        <v/>
      </c>
    </row>
    <row r="227" spans="4:38" x14ac:dyDescent="0.25">
      <c r="D227" s="5" t="str">
        <f>IFERROR(VLOOKUP(E227,'Chemical data ref sheet'!$A$1:$E$163,2,FALSE),"")</f>
        <v/>
      </c>
      <c r="E227" s="16"/>
      <c r="F227" s="5" t="str">
        <f>IFERROR(VLOOKUP(E227,'Chemical data ref sheet'!$A$1:$E$163,3,FALSE),"")</f>
        <v/>
      </c>
      <c r="G227" s="5"/>
      <c r="H227" s="5" t="str">
        <f>IFERROR(VLOOKUP(E227,'Chemical data ref sheet'!$A$1:$E$163,4,FALSE),"")</f>
        <v/>
      </c>
      <c r="I227" s="5" t="str">
        <f>IFERROR(VLOOKUP(E227,'Chemical data ref sheet'!$A$1:$E$163,5,FALSE),"")</f>
        <v/>
      </c>
      <c r="J227" s="7"/>
      <c r="K227" s="7"/>
      <c r="L227" s="290"/>
      <c r="M227" s="7"/>
      <c r="N227" s="7"/>
      <c r="O227" s="7"/>
      <c r="P227" s="133">
        <f>SUMIFS('Product samples'!E:E, 'Product samples'!A:A, B227)</f>
        <v>0</v>
      </c>
      <c r="Q227" s="134">
        <f t="shared" si="98"/>
        <v>0</v>
      </c>
      <c r="R227" s="57" t="str">
        <f t="shared" si="114"/>
        <v/>
      </c>
      <c r="S227" s="135" t="str">
        <f t="shared" si="115"/>
        <v/>
      </c>
      <c r="T227" s="132" t="str">
        <f t="shared" si="99"/>
        <v/>
      </c>
      <c r="U227" s="32" t="str">
        <f t="shared" si="100"/>
        <v/>
      </c>
      <c r="V227" s="135" t="str">
        <f t="shared" si="101"/>
        <v/>
      </c>
      <c r="W227" s="136" t="str">
        <f t="shared" si="102"/>
        <v/>
      </c>
      <c r="X227" s="136" t="str">
        <f t="shared" si="103"/>
        <v/>
      </c>
      <c r="Y227" s="136" t="str">
        <f t="shared" si="116"/>
        <v/>
      </c>
      <c r="Z227" s="136" t="str">
        <f t="shared" si="117"/>
        <v/>
      </c>
      <c r="AA227" s="137" t="str">
        <f t="shared" si="104"/>
        <v/>
      </c>
      <c r="AB227" s="135" t="str">
        <f t="shared" si="105"/>
        <v/>
      </c>
      <c r="AC227" s="135" t="str">
        <f t="shared" si="106"/>
        <v/>
      </c>
      <c r="AD227" s="136" t="str">
        <f t="shared" si="107"/>
        <v/>
      </c>
      <c r="AE227" s="136" t="str">
        <f t="shared" si="108"/>
        <v/>
      </c>
      <c r="AF227" s="136" t="str">
        <f t="shared" si="118"/>
        <v/>
      </c>
      <c r="AG227" s="136" t="str">
        <f t="shared" si="119"/>
        <v/>
      </c>
      <c r="AH227" s="137" t="str">
        <f t="shared" si="109"/>
        <v/>
      </c>
      <c r="AI227" s="135" t="str">
        <f t="shared" si="110"/>
        <v/>
      </c>
      <c r="AJ227" s="135" t="str">
        <f t="shared" si="111"/>
        <v/>
      </c>
      <c r="AK227" s="31" t="str">
        <f t="shared" si="112"/>
        <v/>
      </c>
      <c r="AL227" s="31" t="str">
        <f t="shared" si="113"/>
        <v/>
      </c>
    </row>
    <row r="228" spans="4:38" x14ac:dyDescent="0.25">
      <c r="D228" s="5" t="str">
        <f>IFERROR(VLOOKUP(E228,'Chemical data ref sheet'!$A$1:$E$163,2,FALSE),"")</f>
        <v/>
      </c>
      <c r="E228" s="16"/>
      <c r="F228" s="5" t="str">
        <f>IFERROR(VLOOKUP(E228,'Chemical data ref sheet'!$A$1:$E$163,3,FALSE),"")</f>
        <v/>
      </c>
      <c r="G228" s="5"/>
      <c r="H228" s="5" t="str">
        <f>IFERROR(VLOOKUP(E228,'Chemical data ref sheet'!$A$1:$E$163,4,FALSE),"")</f>
        <v/>
      </c>
      <c r="I228" s="5" t="str">
        <f>IFERROR(VLOOKUP(E228,'Chemical data ref sheet'!$A$1:$E$163,5,FALSE),"")</f>
        <v/>
      </c>
      <c r="J228" s="7"/>
      <c r="K228" s="7"/>
      <c r="L228" s="290"/>
      <c r="M228" s="7"/>
      <c r="N228" s="7"/>
      <c r="O228" s="7"/>
      <c r="P228" s="133">
        <f>SUMIFS('Product samples'!E:E, 'Product samples'!A:A, B228)</f>
        <v>0</v>
      </c>
      <c r="Q228" s="134">
        <f t="shared" si="98"/>
        <v>0</v>
      </c>
      <c r="R228" s="57" t="str">
        <f t="shared" si="114"/>
        <v/>
      </c>
      <c r="S228" s="135" t="str">
        <f t="shared" si="115"/>
        <v/>
      </c>
      <c r="T228" s="132" t="str">
        <f t="shared" si="99"/>
        <v/>
      </c>
      <c r="U228" s="32" t="str">
        <f t="shared" si="100"/>
        <v/>
      </c>
      <c r="V228" s="135" t="str">
        <f t="shared" si="101"/>
        <v/>
      </c>
      <c r="W228" s="136" t="str">
        <f t="shared" si="102"/>
        <v/>
      </c>
      <c r="X228" s="136" t="str">
        <f t="shared" si="103"/>
        <v/>
      </c>
      <c r="Y228" s="136" t="str">
        <f t="shared" si="116"/>
        <v/>
      </c>
      <c r="Z228" s="136" t="str">
        <f t="shared" si="117"/>
        <v/>
      </c>
      <c r="AA228" s="137" t="str">
        <f t="shared" si="104"/>
        <v/>
      </c>
      <c r="AB228" s="135" t="str">
        <f t="shared" si="105"/>
        <v/>
      </c>
      <c r="AC228" s="135" t="str">
        <f t="shared" si="106"/>
        <v/>
      </c>
      <c r="AD228" s="136" t="str">
        <f t="shared" si="107"/>
        <v/>
      </c>
      <c r="AE228" s="136" t="str">
        <f t="shared" si="108"/>
        <v/>
      </c>
      <c r="AF228" s="136" t="str">
        <f t="shared" si="118"/>
        <v/>
      </c>
      <c r="AG228" s="136" t="str">
        <f t="shared" si="119"/>
        <v/>
      </c>
      <c r="AH228" s="137" t="str">
        <f t="shared" si="109"/>
        <v/>
      </c>
      <c r="AI228" s="135" t="str">
        <f t="shared" si="110"/>
        <v/>
      </c>
      <c r="AJ228" s="135" t="str">
        <f t="shared" si="111"/>
        <v/>
      </c>
      <c r="AK228" s="31" t="str">
        <f t="shared" si="112"/>
        <v/>
      </c>
      <c r="AL228" s="31" t="str">
        <f t="shared" si="113"/>
        <v/>
      </c>
    </row>
    <row r="229" spans="4:38" x14ac:dyDescent="0.25">
      <c r="D229" s="5" t="str">
        <f>IFERROR(VLOOKUP(E229,'Chemical data ref sheet'!$A$1:$E$163,2,FALSE),"")</f>
        <v/>
      </c>
      <c r="E229" s="16"/>
      <c r="F229" s="5" t="str">
        <f>IFERROR(VLOOKUP(E229,'Chemical data ref sheet'!$A$1:$E$163,3,FALSE),"")</f>
        <v/>
      </c>
      <c r="G229" s="5"/>
      <c r="H229" s="5" t="str">
        <f>IFERROR(VLOOKUP(E229,'Chemical data ref sheet'!$A$1:$E$163,4,FALSE),"")</f>
        <v/>
      </c>
      <c r="I229" s="5" t="str">
        <f>IFERROR(VLOOKUP(E229,'Chemical data ref sheet'!$A$1:$E$163,5,FALSE),"")</f>
        <v/>
      </c>
      <c r="J229" s="7"/>
      <c r="K229" s="7"/>
      <c r="L229" s="290"/>
      <c r="M229" s="7"/>
      <c r="N229" s="7"/>
      <c r="O229" s="7"/>
      <c r="P229" s="133">
        <f>SUMIFS('Product samples'!E:E, 'Product samples'!A:A, B229)</f>
        <v>0</v>
      </c>
      <c r="Q229" s="134">
        <f t="shared" si="98"/>
        <v>0</v>
      </c>
      <c r="R229" s="57" t="str">
        <f t="shared" si="114"/>
        <v/>
      </c>
      <c r="S229" s="135" t="str">
        <f t="shared" si="115"/>
        <v/>
      </c>
      <c r="T229" s="132" t="str">
        <f t="shared" si="99"/>
        <v/>
      </c>
      <c r="U229" s="32" t="str">
        <f t="shared" si="100"/>
        <v/>
      </c>
      <c r="V229" s="135" t="str">
        <f t="shared" si="101"/>
        <v/>
      </c>
      <c r="W229" s="136" t="str">
        <f t="shared" si="102"/>
        <v/>
      </c>
      <c r="X229" s="136" t="str">
        <f t="shared" si="103"/>
        <v/>
      </c>
      <c r="Y229" s="136" t="str">
        <f t="shared" si="116"/>
        <v/>
      </c>
      <c r="Z229" s="136" t="str">
        <f t="shared" si="117"/>
        <v/>
      </c>
      <c r="AA229" s="137" t="str">
        <f t="shared" si="104"/>
        <v/>
      </c>
      <c r="AB229" s="135" t="str">
        <f t="shared" si="105"/>
        <v/>
      </c>
      <c r="AC229" s="135" t="str">
        <f t="shared" si="106"/>
        <v/>
      </c>
      <c r="AD229" s="136" t="str">
        <f t="shared" si="107"/>
        <v/>
      </c>
      <c r="AE229" s="136" t="str">
        <f t="shared" si="108"/>
        <v/>
      </c>
      <c r="AF229" s="136" t="str">
        <f t="shared" si="118"/>
        <v/>
      </c>
      <c r="AG229" s="136" t="str">
        <f t="shared" si="119"/>
        <v/>
      </c>
      <c r="AH229" s="137" t="str">
        <f t="shared" si="109"/>
        <v/>
      </c>
      <c r="AI229" s="135" t="str">
        <f t="shared" si="110"/>
        <v/>
      </c>
      <c r="AJ229" s="135" t="str">
        <f t="shared" si="111"/>
        <v/>
      </c>
      <c r="AK229" s="31" t="str">
        <f t="shared" si="112"/>
        <v/>
      </c>
      <c r="AL229" s="31" t="str">
        <f t="shared" si="113"/>
        <v/>
      </c>
    </row>
    <row r="230" spans="4:38" x14ac:dyDescent="0.25">
      <c r="D230" s="5" t="str">
        <f>IFERROR(VLOOKUP(E230,'Chemical data ref sheet'!$A$1:$E$163,2,FALSE),"")</f>
        <v/>
      </c>
      <c r="E230" s="16"/>
      <c r="F230" s="5" t="str">
        <f>IFERROR(VLOOKUP(E230,'Chemical data ref sheet'!$A$1:$E$163,3,FALSE),"")</f>
        <v/>
      </c>
      <c r="G230" s="5"/>
      <c r="H230" s="5" t="str">
        <f>IFERROR(VLOOKUP(E230,'Chemical data ref sheet'!$A$1:$E$163,4,FALSE),"")</f>
        <v/>
      </c>
      <c r="I230" s="5" t="str">
        <f>IFERROR(VLOOKUP(E230,'Chemical data ref sheet'!$A$1:$E$163,5,FALSE),"")</f>
        <v/>
      </c>
      <c r="J230" s="7"/>
      <c r="K230" s="7"/>
      <c r="L230" s="290"/>
      <c r="M230" s="7"/>
      <c r="N230" s="7"/>
      <c r="O230" s="7"/>
      <c r="P230" s="133">
        <f>SUMIFS('Product samples'!E:E, 'Product samples'!A:A, B230)</f>
        <v>0</v>
      </c>
      <c r="Q230" s="134">
        <f t="shared" si="98"/>
        <v>0</v>
      </c>
      <c r="R230" s="57" t="str">
        <f t="shared" si="114"/>
        <v/>
      </c>
      <c r="S230" s="135" t="str">
        <f t="shared" si="115"/>
        <v/>
      </c>
      <c r="T230" s="132" t="str">
        <f t="shared" si="99"/>
        <v/>
      </c>
      <c r="U230" s="32" t="str">
        <f t="shared" si="100"/>
        <v/>
      </c>
      <c r="V230" s="135" t="str">
        <f t="shared" si="101"/>
        <v/>
      </c>
      <c r="W230" s="136" t="str">
        <f t="shared" si="102"/>
        <v/>
      </c>
      <c r="X230" s="136" t="str">
        <f t="shared" si="103"/>
        <v/>
      </c>
      <c r="Y230" s="136" t="str">
        <f t="shared" si="116"/>
        <v/>
      </c>
      <c r="Z230" s="136" t="str">
        <f t="shared" si="117"/>
        <v/>
      </c>
      <c r="AA230" s="137" t="str">
        <f t="shared" si="104"/>
        <v/>
      </c>
      <c r="AB230" s="135" t="str">
        <f t="shared" si="105"/>
        <v/>
      </c>
      <c r="AC230" s="135" t="str">
        <f t="shared" si="106"/>
        <v/>
      </c>
      <c r="AD230" s="136" t="str">
        <f t="shared" si="107"/>
        <v/>
      </c>
      <c r="AE230" s="136" t="str">
        <f t="shared" si="108"/>
        <v/>
      </c>
      <c r="AF230" s="136" t="str">
        <f t="shared" si="118"/>
        <v/>
      </c>
      <c r="AG230" s="136" t="str">
        <f t="shared" si="119"/>
        <v/>
      </c>
      <c r="AH230" s="137" t="str">
        <f t="shared" si="109"/>
        <v/>
      </c>
      <c r="AI230" s="135" t="str">
        <f t="shared" si="110"/>
        <v/>
      </c>
      <c r="AJ230" s="135" t="str">
        <f t="shared" si="111"/>
        <v/>
      </c>
      <c r="AK230" s="31" t="str">
        <f t="shared" si="112"/>
        <v/>
      </c>
      <c r="AL230" s="31" t="str">
        <f t="shared" si="113"/>
        <v/>
      </c>
    </row>
    <row r="231" spans="4:38" x14ac:dyDescent="0.25">
      <c r="D231" s="5" t="str">
        <f>IFERROR(VLOOKUP(E231,'Chemical data ref sheet'!$A$1:$E$163,2,FALSE),"")</f>
        <v/>
      </c>
      <c r="E231" s="16"/>
      <c r="F231" s="5" t="str">
        <f>IFERROR(VLOOKUP(E231,'Chemical data ref sheet'!$A$1:$E$163,3,FALSE),"")</f>
        <v/>
      </c>
      <c r="G231" s="5"/>
      <c r="H231" s="5" t="str">
        <f>IFERROR(VLOOKUP(E231,'Chemical data ref sheet'!$A$1:$E$163,4,FALSE),"")</f>
        <v/>
      </c>
      <c r="I231" s="5" t="str">
        <f>IFERROR(VLOOKUP(E231,'Chemical data ref sheet'!$A$1:$E$163,5,FALSE),"")</f>
        <v/>
      </c>
      <c r="J231" s="7"/>
      <c r="K231" s="7"/>
      <c r="L231" s="290"/>
      <c r="M231" s="7"/>
      <c r="N231" s="7"/>
      <c r="O231" s="7"/>
      <c r="P231" s="133">
        <f>SUMIFS('Product samples'!E:E, 'Product samples'!A:A, B231)</f>
        <v>0</v>
      </c>
      <c r="Q231" s="134">
        <f t="shared" si="98"/>
        <v>0</v>
      </c>
      <c r="R231" s="57" t="str">
        <f t="shared" si="114"/>
        <v/>
      </c>
      <c r="S231" s="135" t="str">
        <f t="shared" si="115"/>
        <v/>
      </c>
      <c r="T231" s="132" t="str">
        <f t="shared" si="99"/>
        <v/>
      </c>
      <c r="U231" s="32" t="str">
        <f t="shared" si="100"/>
        <v/>
      </c>
      <c r="V231" s="135" t="str">
        <f t="shared" si="101"/>
        <v/>
      </c>
      <c r="W231" s="136" t="str">
        <f t="shared" si="102"/>
        <v/>
      </c>
      <c r="X231" s="136" t="str">
        <f t="shared" si="103"/>
        <v/>
      </c>
      <c r="Y231" s="136" t="str">
        <f t="shared" si="116"/>
        <v/>
      </c>
      <c r="Z231" s="136" t="str">
        <f t="shared" si="117"/>
        <v/>
      </c>
      <c r="AA231" s="137" t="str">
        <f t="shared" si="104"/>
        <v/>
      </c>
      <c r="AB231" s="135" t="str">
        <f t="shared" si="105"/>
        <v/>
      </c>
      <c r="AC231" s="135" t="str">
        <f t="shared" si="106"/>
        <v/>
      </c>
      <c r="AD231" s="136" t="str">
        <f t="shared" si="107"/>
        <v/>
      </c>
      <c r="AE231" s="136" t="str">
        <f t="shared" si="108"/>
        <v/>
      </c>
      <c r="AF231" s="136" t="str">
        <f t="shared" si="118"/>
        <v/>
      </c>
      <c r="AG231" s="136" t="str">
        <f t="shared" si="119"/>
        <v/>
      </c>
      <c r="AH231" s="137" t="str">
        <f t="shared" si="109"/>
        <v/>
      </c>
      <c r="AI231" s="135" t="str">
        <f t="shared" si="110"/>
        <v/>
      </c>
      <c r="AJ231" s="135" t="str">
        <f t="shared" si="111"/>
        <v/>
      </c>
      <c r="AK231" s="31" t="str">
        <f t="shared" si="112"/>
        <v/>
      </c>
      <c r="AL231" s="31" t="str">
        <f t="shared" si="113"/>
        <v/>
      </c>
    </row>
    <row r="232" spans="4:38" x14ac:dyDescent="0.25">
      <c r="D232" s="5" t="str">
        <f>IFERROR(VLOOKUP(E232,'Chemical data ref sheet'!$A$1:$E$163,2,FALSE),"")</f>
        <v/>
      </c>
      <c r="E232" s="16"/>
      <c r="F232" s="5" t="str">
        <f>IFERROR(VLOOKUP(E232,'Chemical data ref sheet'!$A$1:$E$163,3,FALSE),"")</f>
        <v/>
      </c>
      <c r="G232" s="5"/>
      <c r="H232" s="5" t="str">
        <f>IFERROR(VLOOKUP(E232,'Chemical data ref sheet'!$A$1:$E$163,4,FALSE),"")</f>
        <v/>
      </c>
      <c r="I232" s="5" t="str">
        <f>IFERROR(VLOOKUP(E232,'Chemical data ref sheet'!$A$1:$E$163,5,FALSE),"")</f>
        <v/>
      </c>
      <c r="J232" s="7"/>
      <c r="K232" s="7"/>
      <c r="L232" s="290"/>
      <c r="M232" s="7"/>
      <c r="N232" s="7"/>
      <c r="O232" s="7"/>
      <c r="P232" s="133">
        <f>SUMIFS('Product samples'!E:E, 'Product samples'!A:A, B232)</f>
        <v>0</v>
      </c>
      <c r="Q232" s="134">
        <f t="shared" ref="Q232:Q255" si="120">IFERROR((P232/1000)/H232,0)</f>
        <v>0</v>
      </c>
      <c r="R232" s="57" t="str">
        <f t="shared" si="114"/>
        <v/>
      </c>
      <c r="S232" s="135" t="str">
        <f t="shared" si="115"/>
        <v/>
      </c>
      <c r="T232" s="132" t="str">
        <f t="shared" ref="T232:T255" si="121">IF(AM232&lt;&gt;"",AM232/H232,IF(AND(C232=D232,C232&lt;&gt;""),R232,IF(O232&lt;&gt;"",O232*R232,IF(J232&lt;&gt;"",J232*R232,""))))</f>
        <v/>
      </c>
      <c r="U232" s="32" t="str">
        <f t="shared" ref="U232:U255" si="122">IF(AND(H232&lt;&gt;"",T232&lt;&gt;""),T232*H232,IF(L232&lt;&gt;"",S232*L232,""))</f>
        <v/>
      </c>
      <c r="V232" s="135" t="str">
        <f t="shared" ref="V232:V255" si="123">IFERROR(IF(AND(U232&lt;&gt;"",I232&lt;&gt;""),U232/I232,IF(AND(S232&lt;&gt;"",K232&lt;&gt;""),K232*S232,"")),"")</f>
        <v/>
      </c>
      <c r="W232" s="136" t="str">
        <f t="shared" ref="W232:W255" si="124">IFERROR(IF(B232&lt;&gt;"",T232-Q232,""),"")</f>
        <v/>
      </c>
      <c r="X232" s="136" t="str">
        <f t="shared" ref="X232:X255" si="125">IFERROR(IF(B232&lt;&gt;"",U232-(P232/1000),""),"")</f>
        <v/>
      </c>
      <c r="Y232" s="136" t="str">
        <f t="shared" si="116"/>
        <v/>
      </c>
      <c r="Z232" s="136" t="str">
        <f t="shared" si="117"/>
        <v/>
      </c>
      <c r="AA232" s="137" t="str">
        <f t="shared" ref="AA232:AA255" si="126">IF(AM232&lt;&gt;"",AM232/H232,IF(AND(C232=D232,C232&lt;&gt;""),Y232,IF(M232&lt;&gt;"",M232*Y232,IF(J232&lt;&gt;"",J232*Y232,""))))</f>
        <v/>
      </c>
      <c r="AB232" s="135" t="str">
        <f t="shared" ref="AB232:AB255" si="127">IF(AND(H232&lt;&gt;"",AA232&lt;&gt;""),AA232*H232,IF(L232&lt;&gt;"",Z232*L232,""))</f>
        <v/>
      </c>
      <c r="AC232" s="135" t="str">
        <f t="shared" ref="AC232:AC255" si="128">IFERROR(IF(AND(AB232&lt;&gt;"",I232&lt;&gt;""),AB232/I232,IF(AND(Z232&lt;&gt;"",K232&lt;&gt;""),K232*Z232,"")),"")</f>
        <v/>
      </c>
      <c r="AD232" s="136" t="str">
        <f t="shared" ref="AD232:AD255" si="129">IFERROR(IF(B232&lt;&gt;"",AA232-Q232,""),"")</f>
        <v/>
      </c>
      <c r="AE232" s="136" t="str">
        <f t="shared" ref="AE232:AE255" si="130">IFERROR(IF(B232&lt;&gt;"",AB232-(P232/1000),""),"")</f>
        <v/>
      </c>
      <c r="AF232" s="136" t="str">
        <f t="shared" si="118"/>
        <v/>
      </c>
      <c r="AG232" s="136" t="str">
        <f t="shared" si="119"/>
        <v/>
      </c>
      <c r="AH232" s="137" t="str">
        <f t="shared" ref="AH232:AH255" si="131">IF(AM232&lt;&gt;"",AM232/H232,IF(AND(C232=D232,C232&lt;&gt;""),AF232,IF(N232&lt;&gt;"",N232*AF232,IF(J232&lt;&gt;"",J232*AF232,""))))</f>
        <v/>
      </c>
      <c r="AI232" s="135" t="str">
        <f t="shared" ref="AI232:AI255" si="132">IF(AND(H232&lt;&gt;"",AH232&lt;&gt;""),AH232*H232,IF(L232&lt;&gt;"",AG232*L232,""))</f>
        <v/>
      </c>
      <c r="AJ232" s="135" t="str">
        <f t="shared" ref="AJ232:AJ255" si="133">IFERROR(IF(AND(AI232&lt;&gt;"",I232&lt;&gt;""),AI232/I232,IF(AND(AG232&lt;&gt;"",K232&lt;&gt;""),K232*AG232,"")),"")</f>
        <v/>
      </c>
      <c r="AK232" s="31" t="str">
        <f t="shared" si="112"/>
        <v/>
      </c>
      <c r="AL232" s="31" t="str">
        <f t="shared" si="113"/>
        <v/>
      </c>
    </row>
    <row r="233" spans="4:38" x14ac:dyDescent="0.25">
      <c r="D233" s="5" t="str">
        <f>IFERROR(VLOOKUP(E233,'Chemical data ref sheet'!$A$1:$E$163,2,FALSE),"")</f>
        <v/>
      </c>
      <c r="E233" s="16"/>
      <c r="F233" s="5" t="str">
        <f>IFERROR(VLOOKUP(E233,'Chemical data ref sheet'!$A$1:$E$163,3,FALSE),"")</f>
        <v/>
      </c>
      <c r="G233" s="5"/>
      <c r="H233" s="5" t="str">
        <f>IFERROR(VLOOKUP(E233,'Chemical data ref sheet'!$A$1:$E$163,4,FALSE),"")</f>
        <v/>
      </c>
      <c r="I233" s="5" t="str">
        <f>IFERROR(VLOOKUP(E233,'Chemical data ref sheet'!$A$1:$E$163,5,FALSE),"")</f>
        <v/>
      </c>
      <c r="J233" s="7"/>
      <c r="K233" s="7"/>
      <c r="L233" s="290"/>
      <c r="M233" s="7"/>
      <c r="N233" s="7"/>
      <c r="O233" s="7"/>
      <c r="P233" s="133">
        <f>SUMIFS('Product samples'!E:E, 'Product samples'!A:A, B233)</f>
        <v>0</v>
      </c>
      <c r="Q233" s="134">
        <f t="shared" si="120"/>
        <v>0</v>
      </c>
      <c r="R233" s="57" t="str">
        <f t="shared" si="114"/>
        <v/>
      </c>
      <c r="S233" s="135" t="str">
        <f t="shared" si="115"/>
        <v/>
      </c>
      <c r="T233" s="132" t="str">
        <f t="shared" si="121"/>
        <v/>
      </c>
      <c r="U233" s="32" t="str">
        <f t="shared" si="122"/>
        <v/>
      </c>
      <c r="V233" s="135" t="str">
        <f t="shared" si="123"/>
        <v/>
      </c>
      <c r="W233" s="136" t="str">
        <f t="shared" si="124"/>
        <v/>
      </c>
      <c r="X233" s="136" t="str">
        <f t="shared" si="125"/>
        <v/>
      </c>
      <c r="Y233" s="136" t="str">
        <f t="shared" si="116"/>
        <v/>
      </c>
      <c r="Z233" s="136" t="str">
        <f t="shared" si="117"/>
        <v/>
      </c>
      <c r="AA233" s="137" t="str">
        <f t="shared" si="126"/>
        <v/>
      </c>
      <c r="AB233" s="135" t="str">
        <f t="shared" si="127"/>
        <v/>
      </c>
      <c r="AC233" s="135" t="str">
        <f t="shared" si="128"/>
        <v/>
      </c>
      <c r="AD233" s="136" t="str">
        <f t="shared" si="129"/>
        <v/>
      </c>
      <c r="AE233" s="136" t="str">
        <f t="shared" si="130"/>
        <v/>
      </c>
      <c r="AF233" s="136" t="str">
        <f t="shared" si="118"/>
        <v/>
      </c>
      <c r="AG233" s="136" t="str">
        <f t="shared" si="119"/>
        <v/>
      </c>
      <c r="AH233" s="137" t="str">
        <f t="shared" si="131"/>
        <v/>
      </c>
      <c r="AI233" s="135" t="str">
        <f t="shared" si="132"/>
        <v/>
      </c>
      <c r="AJ233" s="135" t="str">
        <f t="shared" si="133"/>
        <v/>
      </c>
      <c r="AK233" s="31" t="str">
        <f t="shared" si="112"/>
        <v/>
      </c>
      <c r="AL233" s="31" t="str">
        <f t="shared" si="113"/>
        <v/>
      </c>
    </row>
    <row r="234" spans="4:38" x14ac:dyDescent="0.25">
      <c r="D234" s="5" t="str">
        <f>IFERROR(VLOOKUP(E234,'Chemical data ref sheet'!$A$1:$E$163,2,FALSE),"")</f>
        <v/>
      </c>
      <c r="E234" s="16"/>
      <c r="F234" s="5" t="str">
        <f>IFERROR(VLOOKUP(E234,'Chemical data ref sheet'!$A$1:$E$163,3,FALSE),"")</f>
        <v/>
      </c>
      <c r="G234" s="5"/>
      <c r="H234" s="5" t="str">
        <f>IFERROR(VLOOKUP(E234,'Chemical data ref sheet'!$A$1:$E$163,4,FALSE),"")</f>
        <v/>
      </c>
      <c r="I234" s="5" t="str">
        <f>IFERROR(VLOOKUP(E234,'Chemical data ref sheet'!$A$1:$E$163,5,FALSE),"")</f>
        <v/>
      </c>
      <c r="J234" s="7"/>
      <c r="K234" s="7"/>
      <c r="L234" s="290"/>
      <c r="M234" s="7"/>
      <c r="N234" s="7"/>
      <c r="O234" s="7"/>
      <c r="P234" s="133">
        <f>SUMIFS('Product samples'!E:E, 'Product samples'!A:A, B234)</f>
        <v>0</v>
      </c>
      <c r="Q234" s="134">
        <f t="shared" si="120"/>
        <v>0</v>
      </c>
      <c r="R234" s="57" t="str">
        <f t="shared" si="114"/>
        <v/>
      </c>
      <c r="S234" s="135" t="str">
        <f t="shared" si="115"/>
        <v/>
      </c>
      <c r="T234" s="132" t="str">
        <f t="shared" si="121"/>
        <v/>
      </c>
      <c r="U234" s="32" t="str">
        <f t="shared" si="122"/>
        <v/>
      </c>
      <c r="V234" s="135" t="str">
        <f t="shared" si="123"/>
        <v/>
      </c>
      <c r="W234" s="136" t="str">
        <f t="shared" si="124"/>
        <v/>
      </c>
      <c r="X234" s="136" t="str">
        <f t="shared" si="125"/>
        <v/>
      </c>
      <c r="Y234" s="136" t="str">
        <f t="shared" si="116"/>
        <v/>
      </c>
      <c r="Z234" s="136" t="str">
        <f t="shared" si="117"/>
        <v/>
      </c>
      <c r="AA234" s="137" t="str">
        <f t="shared" si="126"/>
        <v/>
      </c>
      <c r="AB234" s="135" t="str">
        <f t="shared" si="127"/>
        <v/>
      </c>
      <c r="AC234" s="135" t="str">
        <f t="shared" si="128"/>
        <v/>
      </c>
      <c r="AD234" s="136" t="str">
        <f t="shared" si="129"/>
        <v/>
      </c>
      <c r="AE234" s="136" t="str">
        <f t="shared" si="130"/>
        <v/>
      </c>
      <c r="AF234" s="136" t="str">
        <f t="shared" si="118"/>
        <v/>
      </c>
      <c r="AG234" s="136" t="str">
        <f t="shared" si="119"/>
        <v/>
      </c>
      <c r="AH234" s="137" t="str">
        <f t="shared" si="131"/>
        <v/>
      </c>
      <c r="AI234" s="135" t="str">
        <f t="shared" si="132"/>
        <v/>
      </c>
      <c r="AJ234" s="135" t="str">
        <f t="shared" si="133"/>
        <v/>
      </c>
      <c r="AK234" s="31" t="str">
        <f t="shared" si="112"/>
        <v/>
      </c>
      <c r="AL234" s="31" t="str">
        <f t="shared" si="113"/>
        <v/>
      </c>
    </row>
    <row r="235" spans="4:38" x14ac:dyDescent="0.25">
      <c r="D235" s="5" t="str">
        <f>IFERROR(VLOOKUP(E235,'Chemical data ref sheet'!$A$1:$E$163,2,FALSE),"")</f>
        <v/>
      </c>
      <c r="E235" s="16"/>
      <c r="F235" s="5" t="str">
        <f>IFERROR(VLOOKUP(E235,'Chemical data ref sheet'!$A$1:$E$163,3,FALSE),"")</f>
        <v/>
      </c>
      <c r="G235" s="5"/>
      <c r="H235" s="5" t="str">
        <f>IFERROR(VLOOKUP(E235,'Chemical data ref sheet'!$A$1:$E$163,4,FALSE),"")</f>
        <v/>
      </c>
      <c r="I235" s="5" t="str">
        <f>IFERROR(VLOOKUP(E235,'Chemical data ref sheet'!$A$1:$E$163,5,FALSE),"")</f>
        <v/>
      </c>
      <c r="J235" s="7"/>
      <c r="K235" s="7"/>
      <c r="L235" s="290"/>
      <c r="M235" s="7"/>
      <c r="N235" s="7"/>
      <c r="O235" s="7"/>
      <c r="P235" s="133">
        <f>SUMIFS('Product samples'!E:E, 'Product samples'!A:A, B235)</f>
        <v>0</v>
      </c>
      <c r="Q235" s="134">
        <f t="shared" si="120"/>
        <v>0</v>
      </c>
      <c r="R235" s="57" t="str">
        <f t="shared" si="114"/>
        <v/>
      </c>
      <c r="S235" s="135" t="str">
        <f t="shared" si="115"/>
        <v/>
      </c>
      <c r="T235" s="132" t="str">
        <f t="shared" si="121"/>
        <v/>
      </c>
      <c r="U235" s="32" t="str">
        <f t="shared" si="122"/>
        <v/>
      </c>
      <c r="V235" s="135" t="str">
        <f t="shared" si="123"/>
        <v/>
      </c>
      <c r="W235" s="136" t="str">
        <f t="shared" si="124"/>
        <v/>
      </c>
      <c r="X235" s="136" t="str">
        <f t="shared" si="125"/>
        <v/>
      </c>
      <c r="Y235" s="136" t="str">
        <f t="shared" si="116"/>
        <v/>
      </c>
      <c r="Z235" s="136" t="str">
        <f t="shared" si="117"/>
        <v/>
      </c>
      <c r="AA235" s="137" t="str">
        <f t="shared" si="126"/>
        <v/>
      </c>
      <c r="AB235" s="135" t="str">
        <f t="shared" si="127"/>
        <v/>
      </c>
      <c r="AC235" s="135" t="str">
        <f t="shared" si="128"/>
        <v/>
      </c>
      <c r="AD235" s="136" t="str">
        <f t="shared" si="129"/>
        <v/>
      </c>
      <c r="AE235" s="136" t="str">
        <f t="shared" si="130"/>
        <v/>
      </c>
      <c r="AF235" s="136" t="str">
        <f t="shared" si="118"/>
        <v/>
      </c>
      <c r="AG235" s="136" t="str">
        <f t="shared" si="119"/>
        <v/>
      </c>
      <c r="AH235" s="137" t="str">
        <f t="shared" si="131"/>
        <v/>
      </c>
      <c r="AI235" s="135" t="str">
        <f t="shared" si="132"/>
        <v/>
      </c>
      <c r="AJ235" s="135" t="str">
        <f t="shared" si="133"/>
        <v/>
      </c>
      <c r="AK235" s="31" t="str">
        <f t="shared" si="112"/>
        <v/>
      </c>
      <c r="AL235" s="31" t="str">
        <f t="shared" si="113"/>
        <v/>
      </c>
    </row>
    <row r="236" spans="4:38" x14ac:dyDescent="0.25">
      <c r="D236" s="5" t="str">
        <f>IFERROR(VLOOKUP(E236,'Chemical data ref sheet'!$A$1:$E$163,2,FALSE),"")</f>
        <v/>
      </c>
      <c r="E236" s="16"/>
      <c r="F236" s="5" t="str">
        <f>IFERROR(VLOOKUP(E236,'Chemical data ref sheet'!$A$1:$E$163,3,FALSE),"")</f>
        <v/>
      </c>
      <c r="G236" s="5"/>
      <c r="H236" s="5" t="str">
        <f>IFERROR(VLOOKUP(E236,'Chemical data ref sheet'!$A$1:$E$163,4,FALSE),"")</f>
        <v/>
      </c>
      <c r="I236" s="5" t="str">
        <f>IFERROR(VLOOKUP(E236,'Chemical data ref sheet'!$A$1:$E$163,5,FALSE),"")</f>
        <v/>
      </c>
      <c r="J236" s="7"/>
      <c r="K236" s="7"/>
      <c r="L236" s="290"/>
      <c r="M236" s="7"/>
      <c r="N236" s="7"/>
      <c r="O236" s="7"/>
      <c r="P236" s="133">
        <f>SUMIFS('Product samples'!E:E, 'Product samples'!A:A, B236)</f>
        <v>0</v>
      </c>
      <c r="Q236" s="134">
        <f t="shared" si="120"/>
        <v>0</v>
      </c>
      <c r="R236" s="57" t="str">
        <f t="shared" si="114"/>
        <v/>
      </c>
      <c r="S236" s="135" t="str">
        <f t="shared" si="115"/>
        <v/>
      </c>
      <c r="T236" s="132" t="str">
        <f t="shared" si="121"/>
        <v/>
      </c>
      <c r="U236" s="32" t="str">
        <f t="shared" si="122"/>
        <v/>
      </c>
      <c r="V236" s="135" t="str">
        <f t="shared" si="123"/>
        <v/>
      </c>
      <c r="W236" s="136" t="str">
        <f t="shared" si="124"/>
        <v/>
      </c>
      <c r="X236" s="136" t="str">
        <f t="shared" si="125"/>
        <v/>
      </c>
      <c r="Y236" s="136" t="str">
        <f t="shared" si="116"/>
        <v/>
      </c>
      <c r="Z236" s="136" t="str">
        <f t="shared" si="117"/>
        <v/>
      </c>
      <c r="AA236" s="137" t="str">
        <f t="shared" si="126"/>
        <v/>
      </c>
      <c r="AB236" s="135" t="str">
        <f t="shared" si="127"/>
        <v/>
      </c>
      <c r="AC236" s="135" t="str">
        <f t="shared" si="128"/>
        <v/>
      </c>
      <c r="AD236" s="136" t="str">
        <f t="shared" si="129"/>
        <v/>
      </c>
      <c r="AE236" s="136" t="str">
        <f t="shared" si="130"/>
        <v/>
      </c>
      <c r="AF236" s="136" t="str">
        <f t="shared" si="118"/>
        <v/>
      </c>
      <c r="AG236" s="136" t="str">
        <f t="shared" si="119"/>
        <v/>
      </c>
      <c r="AH236" s="137" t="str">
        <f t="shared" si="131"/>
        <v/>
      </c>
      <c r="AI236" s="135" t="str">
        <f t="shared" si="132"/>
        <v/>
      </c>
      <c r="AJ236" s="135" t="str">
        <f t="shared" si="133"/>
        <v/>
      </c>
      <c r="AK236" s="31" t="str">
        <f t="shared" si="112"/>
        <v/>
      </c>
      <c r="AL236" s="31" t="str">
        <f t="shared" si="113"/>
        <v/>
      </c>
    </row>
    <row r="237" spans="4:38" x14ac:dyDescent="0.25">
      <c r="D237" s="5" t="str">
        <f>IFERROR(VLOOKUP(E237,'Chemical data ref sheet'!$A$1:$E$163,2,FALSE),"")</f>
        <v/>
      </c>
      <c r="E237" s="16"/>
      <c r="F237" s="5" t="str">
        <f>IFERROR(VLOOKUP(E237,'Chemical data ref sheet'!$A$1:$E$163,3,FALSE),"")</f>
        <v/>
      </c>
      <c r="G237" s="5"/>
      <c r="H237" s="5" t="str">
        <f>IFERROR(VLOOKUP(E237,'Chemical data ref sheet'!$A$1:$E$163,4,FALSE),"")</f>
        <v/>
      </c>
      <c r="I237" s="5" t="str">
        <f>IFERROR(VLOOKUP(E237,'Chemical data ref sheet'!$A$1:$E$163,5,FALSE),"")</f>
        <v/>
      </c>
      <c r="J237" s="7"/>
      <c r="K237" s="7"/>
      <c r="L237" s="290"/>
      <c r="M237" s="7"/>
      <c r="N237" s="7"/>
      <c r="O237" s="7"/>
      <c r="P237" s="133">
        <f>SUMIFS('Product samples'!E:E, 'Product samples'!A:A, B237)</f>
        <v>0</v>
      </c>
      <c r="Q237" s="134">
        <f t="shared" si="120"/>
        <v>0</v>
      </c>
      <c r="R237" s="57" t="str">
        <f t="shared" si="114"/>
        <v/>
      </c>
      <c r="S237" s="135" t="str">
        <f t="shared" si="115"/>
        <v/>
      </c>
      <c r="T237" s="132" t="str">
        <f t="shared" si="121"/>
        <v/>
      </c>
      <c r="U237" s="32" t="str">
        <f t="shared" si="122"/>
        <v/>
      </c>
      <c r="V237" s="135" t="str">
        <f t="shared" si="123"/>
        <v/>
      </c>
      <c r="W237" s="136" t="str">
        <f t="shared" si="124"/>
        <v/>
      </c>
      <c r="X237" s="136" t="str">
        <f t="shared" si="125"/>
        <v/>
      </c>
      <c r="Y237" s="136" t="str">
        <f t="shared" si="116"/>
        <v/>
      </c>
      <c r="Z237" s="136" t="str">
        <f t="shared" si="117"/>
        <v/>
      </c>
      <c r="AA237" s="137" t="str">
        <f t="shared" si="126"/>
        <v/>
      </c>
      <c r="AB237" s="135" t="str">
        <f t="shared" si="127"/>
        <v/>
      </c>
      <c r="AC237" s="135" t="str">
        <f t="shared" si="128"/>
        <v/>
      </c>
      <c r="AD237" s="136" t="str">
        <f t="shared" si="129"/>
        <v/>
      </c>
      <c r="AE237" s="136" t="str">
        <f t="shared" si="130"/>
        <v/>
      </c>
      <c r="AF237" s="136" t="str">
        <f t="shared" si="118"/>
        <v/>
      </c>
      <c r="AG237" s="136" t="str">
        <f t="shared" si="119"/>
        <v/>
      </c>
      <c r="AH237" s="137" t="str">
        <f t="shared" si="131"/>
        <v/>
      </c>
      <c r="AI237" s="135" t="str">
        <f t="shared" si="132"/>
        <v/>
      </c>
      <c r="AJ237" s="135" t="str">
        <f t="shared" si="133"/>
        <v/>
      </c>
      <c r="AK237" s="31" t="str">
        <f>IFERROR(IF(B237&lt;&gt;"",AH237-Q237,""),"")</f>
        <v/>
      </c>
      <c r="AL237" s="31" t="str">
        <f>IFERROR(IF(B237&lt;&gt;"",AI237-(P237/1000),""),"")</f>
        <v/>
      </c>
    </row>
    <row r="238" spans="4:38" x14ac:dyDescent="0.25">
      <c r="D238" s="5" t="str">
        <f>IFERROR(VLOOKUP(E238,'Chemical data ref sheet'!$A$1:$E$163,2,FALSE),"")</f>
        <v/>
      </c>
      <c r="E238" s="16"/>
      <c r="F238" s="5" t="str">
        <f>IFERROR(VLOOKUP(E238,'Chemical data ref sheet'!$A$1:$E$163,3,FALSE),"")</f>
        <v/>
      </c>
      <c r="G238" s="5"/>
      <c r="H238" s="5" t="str">
        <f>IFERROR(VLOOKUP(E238,'Chemical data ref sheet'!$A$1:$E$163,4,FALSE),"")</f>
        <v/>
      </c>
      <c r="I238" s="5" t="str">
        <f>IFERROR(VLOOKUP(E238,'Chemical data ref sheet'!$A$1:$E$163,5,FALSE),"")</f>
        <v/>
      </c>
      <c r="J238" s="7"/>
      <c r="K238" s="7"/>
      <c r="L238" s="290"/>
      <c r="M238" s="7"/>
      <c r="N238" s="7"/>
      <c r="O238" s="7"/>
      <c r="P238" s="133">
        <f>SUMIFS('Product samples'!E:E, 'Product samples'!A:A, B238)</f>
        <v>0</v>
      </c>
      <c r="Q238" s="134">
        <f t="shared" si="120"/>
        <v>0</v>
      </c>
      <c r="R238" s="57" t="str">
        <f t="shared" si="114"/>
        <v/>
      </c>
      <c r="S238" s="135" t="str">
        <f t="shared" si="115"/>
        <v/>
      </c>
      <c r="T238" s="132" t="str">
        <f t="shared" si="121"/>
        <v/>
      </c>
      <c r="U238" s="32" t="str">
        <f t="shared" si="122"/>
        <v/>
      </c>
      <c r="V238" s="135" t="str">
        <f t="shared" si="123"/>
        <v/>
      </c>
      <c r="W238" s="136" t="str">
        <f t="shared" si="124"/>
        <v/>
      </c>
      <c r="X238" s="136" t="str">
        <f t="shared" si="125"/>
        <v/>
      </c>
      <c r="Y238" s="136" t="str">
        <f t="shared" si="116"/>
        <v/>
      </c>
      <c r="Z238" s="136" t="str">
        <f t="shared" si="117"/>
        <v/>
      </c>
      <c r="AA238" s="137" t="str">
        <f t="shared" si="126"/>
        <v/>
      </c>
      <c r="AB238" s="135" t="str">
        <f t="shared" si="127"/>
        <v/>
      </c>
      <c r="AC238" s="135" t="str">
        <f t="shared" si="128"/>
        <v/>
      </c>
      <c r="AD238" s="136" t="str">
        <f t="shared" si="129"/>
        <v/>
      </c>
      <c r="AE238" s="136" t="str">
        <f t="shared" si="130"/>
        <v/>
      </c>
      <c r="AF238" s="136" t="str">
        <f t="shared" si="118"/>
        <v/>
      </c>
      <c r="AG238" s="136" t="str">
        <f t="shared" si="119"/>
        <v/>
      </c>
      <c r="AH238" s="137" t="str">
        <f t="shared" si="131"/>
        <v/>
      </c>
      <c r="AI238" s="135" t="str">
        <f t="shared" si="132"/>
        <v/>
      </c>
      <c r="AJ238" s="135" t="str">
        <f t="shared" si="133"/>
        <v/>
      </c>
      <c r="AK238" s="31" t="str">
        <f>IFERROR(IF(B238&lt;&gt;"",AH238-Q238,""),"")</f>
        <v/>
      </c>
      <c r="AL238" s="31" t="str">
        <f>IFERROR(IF(B238&lt;&gt;"",AI238-(P238/1000),""),"")</f>
        <v/>
      </c>
    </row>
    <row r="239" spans="4:38" x14ac:dyDescent="0.25">
      <c r="D239" s="5" t="str">
        <f>IFERROR(VLOOKUP(E239,'Chemical data ref sheet'!$A$1:$E$163,2,FALSE),"")</f>
        <v/>
      </c>
      <c r="E239" s="16"/>
      <c r="F239" s="5" t="str">
        <f>IFERROR(VLOOKUP(E239,'Chemical data ref sheet'!$A$1:$E$163,3,FALSE),"")</f>
        <v/>
      </c>
      <c r="G239" s="5"/>
      <c r="H239" s="5" t="str">
        <f>IFERROR(VLOOKUP(E239,'Chemical data ref sheet'!$A$1:$E$163,4,FALSE),"")</f>
        <v/>
      </c>
      <c r="I239" s="5" t="str">
        <f>IFERROR(VLOOKUP(E239,'Chemical data ref sheet'!$A$1:$E$163,5,FALSE),"")</f>
        <v/>
      </c>
      <c r="J239" s="7"/>
      <c r="K239" s="7"/>
      <c r="L239" s="290"/>
      <c r="M239" s="7"/>
      <c r="N239" s="7"/>
      <c r="O239" s="7"/>
      <c r="P239" s="133">
        <f>SUMIFS('Product samples'!E:E, 'Product samples'!A:A, B239)</f>
        <v>0</v>
      </c>
      <c r="Q239" s="134">
        <f t="shared" si="120"/>
        <v>0</v>
      </c>
      <c r="R239" s="57" t="str">
        <f t="shared" si="114"/>
        <v/>
      </c>
      <c r="S239" s="135" t="str">
        <f t="shared" si="115"/>
        <v/>
      </c>
      <c r="T239" s="132" t="str">
        <f t="shared" si="121"/>
        <v/>
      </c>
      <c r="U239" s="32" t="str">
        <f t="shared" si="122"/>
        <v/>
      </c>
      <c r="V239" s="135" t="str">
        <f t="shared" si="123"/>
        <v/>
      </c>
      <c r="W239" s="136" t="str">
        <f t="shared" si="124"/>
        <v/>
      </c>
      <c r="X239" s="136" t="str">
        <f t="shared" si="125"/>
        <v/>
      </c>
      <c r="Y239" s="136" t="str">
        <f t="shared" si="116"/>
        <v/>
      </c>
      <c r="Z239" s="136" t="str">
        <f t="shared" si="117"/>
        <v/>
      </c>
      <c r="AA239" s="137" t="str">
        <f t="shared" si="126"/>
        <v/>
      </c>
      <c r="AB239" s="135" t="str">
        <f t="shared" si="127"/>
        <v/>
      </c>
      <c r="AC239" s="135" t="str">
        <f t="shared" si="128"/>
        <v/>
      </c>
      <c r="AD239" s="136" t="str">
        <f t="shared" si="129"/>
        <v/>
      </c>
      <c r="AE239" s="136" t="str">
        <f t="shared" si="130"/>
        <v/>
      </c>
      <c r="AF239" s="136" t="str">
        <f t="shared" si="118"/>
        <v/>
      </c>
      <c r="AG239" s="136" t="str">
        <f t="shared" si="119"/>
        <v/>
      </c>
      <c r="AH239" s="137" t="str">
        <f t="shared" si="131"/>
        <v/>
      </c>
      <c r="AI239" s="135" t="str">
        <f t="shared" si="132"/>
        <v/>
      </c>
      <c r="AJ239" s="135" t="str">
        <f t="shared" si="133"/>
        <v/>
      </c>
      <c r="AK239" s="31" t="str">
        <f>IFERROR(IF(B239&lt;&gt;"",AH239-Q239,""),"")</f>
        <v/>
      </c>
      <c r="AL239" s="31" t="str">
        <f>IFERROR(IF(B239&lt;&gt;"",AI239-(P239/1000),""),"")</f>
        <v/>
      </c>
    </row>
    <row r="240" spans="4:38" x14ac:dyDescent="0.25">
      <c r="D240" s="5" t="str">
        <f>IFERROR(VLOOKUP(E240,'Chemical data ref sheet'!$A$1:$E$163,2,FALSE),"")</f>
        <v/>
      </c>
      <c r="E240" s="16"/>
      <c r="F240" s="5" t="str">
        <f>IFERROR(VLOOKUP(E240,'Chemical data ref sheet'!$A$1:$E$163,3,FALSE),"")</f>
        <v/>
      </c>
      <c r="G240" s="5"/>
      <c r="H240" s="5" t="str">
        <f>IFERROR(VLOOKUP(E240,'Chemical data ref sheet'!$A$1:$E$163,4,FALSE),"")</f>
        <v/>
      </c>
      <c r="I240" s="5" t="str">
        <f>IFERROR(VLOOKUP(E240,'Chemical data ref sheet'!$A$1:$E$163,5,FALSE),"")</f>
        <v/>
      </c>
      <c r="J240" s="7"/>
      <c r="K240" s="7"/>
      <c r="L240" s="290"/>
      <c r="M240" s="7"/>
      <c r="N240" s="7"/>
      <c r="O240" s="7"/>
      <c r="P240" s="133">
        <f>SUMIFS('Product samples'!E:E, 'Product samples'!A:A, B240)</f>
        <v>0</v>
      </c>
      <c r="Q240" s="134">
        <f t="shared" si="120"/>
        <v>0</v>
      </c>
      <c r="R240" s="57" t="str">
        <f t="shared" si="114"/>
        <v/>
      </c>
      <c r="S240" s="135" t="str">
        <f t="shared" si="115"/>
        <v/>
      </c>
      <c r="T240" s="132" t="str">
        <f t="shared" si="121"/>
        <v/>
      </c>
      <c r="U240" s="32" t="str">
        <f t="shared" si="122"/>
        <v/>
      </c>
      <c r="V240" s="135" t="str">
        <f t="shared" si="123"/>
        <v/>
      </c>
      <c r="W240" s="136" t="str">
        <f t="shared" si="124"/>
        <v/>
      </c>
      <c r="X240" s="136" t="str">
        <f t="shared" si="125"/>
        <v/>
      </c>
      <c r="Y240" s="136" t="str">
        <f t="shared" si="116"/>
        <v/>
      </c>
      <c r="Z240" s="136" t="str">
        <f t="shared" si="117"/>
        <v/>
      </c>
      <c r="AA240" s="137" t="str">
        <f t="shared" si="126"/>
        <v/>
      </c>
      <c r="AB240" s="135" t="str">
        <f t="shared" si="127"/>
        <v/>
      </c>
      <c r="AC240" s="135" t="str">
        <f t="shared" si="128"/>
        <v/>
      </c>
      <c r="AD240" s="136" t="str">
        <f t="shared" si="129"/>
        <v/>
      </c>
      <c r="AE240" s="136" t="str">
        <f t="shared" si="130"/>
        <v/>
      </c>
      <c r="AF240" s="136" t="str">
        <f t="shared" si="118"/>
        <v/>
      </c>
      <c r="AG240" s="136" t="str">
        <f t="shared" si="119"/>
        <v/>
      </c>
      <c r="AH240" s="137" t="str">
        <f t="shared" si="131"/>
        <v/>
      </c>
      <c r="AI240" s="135" t="str">
        <f t="shared" si="132"/>
        <v/>
      </c>
      <c r="AJ240" s="135" t="str">
        <f t="shared" si="133"/>
        <v/>
      </c>
      <c r="AK240" s="31" t="str">
        <f t="shared" ref="AK240:AK255" si="134">IFERROR(IF(B240&lt;&gt;"",AH240-Q240,""),"")</f>
        <v/>
      </c>
      <c r="AL240" s="31" t="str">
        <f t="shared" ref="AL240:AL255" si="135">IFERROR(IF(B240&lt;&gt;"",AI240-(Q240/1000),""),"")</f>
        <v/>
      </c>
    </row>
    <row r="241" spans="4:38" x14ac:dyDescent="0.25">
      <c r="D241" s="5" t="str">
        <f>IFERROR(VLOOKUP(E241,'Chemical data ref sheet'!$A$1:$E$163,2,FALSE),"")</f>
        <v/>
      </c>
      <c r="E241" s="16"/>
      <c r="F241" s="5" t="str">
        <f>IFERROR(VLOOKUP(E241,'Chemical data ref sheet'!$A$1:$E$163,3,FALSE),"")</f>
        <v/>
      </c>
      <c r="G241" s="5"/>
      <c r="H241" s="5" t="str">
        <f>IFERROR(VLOOKUP(E241,'Chemical data ref sheet'!$A$1:$E$163,4,FALSE),"")</f>
        <v/>
      </c>
      <c r="I241" s="5" t="str">
        <f>IFERROR(VLOOKUP(E241,'Chemical data ref sheet'!$A$1:$E$163,5,FALSE),"")</f>
        <v/>
      </c>
      <c r="J241" s="7"/>
      <c r="K241" s="7"/>
      <c r="L241" s="290"/>
      <c r="M241" s="7"/>
      <c r="N241" s="7"/>
      <c r="O241" s="7"/>
      <c r="P241" s="133">
        <f>SUMIFS('Product samples'!E:E, 'Product samples'!A:A, B241)</f>
        <v>0</v>
      </c>
      <c r="Q241" s="134">
        <f t="shared" si="120"/>
        <v>0</v>
      </c>
      <c r="R241" s="57" t="str">
        <f t="shared" si="114"/>
        <v/>
      </c>
      <c r="S241" s="135" t="str">
        <f t="shared" si="115"/>
        <v/>
      </c>
      <c r="T241" s="132" t="str">
        <f t="shared" si="121"/>
        <v/>
      </c>
      <c r="U241" s="32" t="str">
        <f t="shared" si="122"/>
        <v/>
      </c>
      <c r="V241" s="135" t="str">
        <f t="shared" si="123"/>
        <v/>
      </c>
      <c r="W241" s="136" t="str">
        <f t="shared" si="124"/>
        <v/>
      </c>
      <c r="X241" s="136" t="str">
        <f t="shared" si="125"/>
        <v/>
      </c>
      <c r="Y241" s="136" t="str">
        <f t="shared" si="116"/>
        <v/>
      </c>
      <c r="Z241" s="136" t="str">
        <f t="shared" si="117"/>
        <v/>
      </c>
      <c r="AA241" s="137" t="str">
        <f t="shared" si="126"/>
        <v/>
      </c>
      <c r="AB241" s="135" t="str">
        <f t="shared" si="127"/>
        <v/>
      </c>
      <c r="AC241" s="135" t="str">
        <f t="shared" si="128"/>
        <v/>
      </c>
      <c r="AD241" s="136" t="str">
        <f t="shared" si="129"/>
        <v/>
      </c>
      <c r="AE241" s="136" t="str">
        <f t="shared" si="130"/>
        <v/>
      </c>
      <c r="AF241" s="136" t="str">
        <f t="shared" si="118"/>
        <v/>
      </c>
      <c r="AG241" s="136" t="str">
        <f t="shared" si="119"/>
        <v/>
      </c>
      <c r="AH241" s="137" t="str">
        <f t="shared" si="131"/>
        <v/>
      </c>
      <c r="AI241" s="135" t="str">
        <f t="shared" si="132"/>
        <v/>
      </c>
      <c r="AJ241" s="135" t="str">
        <f t="shared" si="133"/>
        <v/>
      </c>
      <c r="AK241" s="31" t="str">
        <f t="shared" si="134"/>
        <v/>
      </c>
      <c r="AL241" s="31" t="str">
        <f t="shared" si="135"/>
        <v/>
      </c>
    </row>
    <row r="242" spans="4:38" x14ac:dyDescent="0.25">
      <c r="D242" s="5" t="str">
        <f>IFERROR(VLOOKUP(E242,'Chemical data ref sheet'!$A$1:$E$163,2,FALSE),"")</f>
        <v/>
      </c>
      <c r="E242" s="16"/>
      <c r="F242" s="5" t="str">
        <f>IFERROR(VLOOKUP(E242,'Chemical data ref sheet'!$A$1:$E$163,3,FALSE),"")</f>
        <v/>
      </c>
      <c r="G242" s="5"/>
      <c r="H242" s="5" t="str">
        <f>IFERROR(VLOOKUP(E242,'Chemical data ref sheet'!$A$1:$E$163,4,FALSE),"")</f>
        <v/>
      </c>
      <c r="I242" s="5" t="str">
        <f>IFERROR(VLOOKUP(E242,'Chemical data ref sheet'!$A$1:$E$163,5,FALSE),"")</f>
        <v/>
      </c>
      <c r="J242" s="7"/>
      <c r="K242" s="7"/>
      <c r="L242" s="290"/>
      <c r="M242" s="7"/>
      <c r="N242" s="7"/>
      <c r="O242" s="7"/>
      <c r="P242" s="133">
        <f>SUMIFS('Product samples'!E:E, 'Product samples'!A:A, B242)</f>
        <v>0</v>
      </c>
      <c r="Q242" s="134">
        <f t="shared" si="120"/>
        <v>0</v>
      </c>
      <c r="R242" s="57" t="str">
        <f t="shared" si="114"/>
        <v/>
      </c>
      <c r="S242" s="135" t="str">
        <f t="shared" si="115"/>
        <v/>
      </c>
      <c r="T242" s="132" t="str">
        <f t="shared" si="121"/>
        <v/>
      </c>
      <c r="U242" s="32" t="str">
        <f t="shared" si="122"/>
        <v/>
      </c>
      <c r="V242" s="135" t="str">
        <f t="shared" si="123"/>
        <v/>
      </c>
      <c r="W242" s="136" t="str">
        <f t="shared" si="124"/>
        <v/>
      </c>
      <c r="X242" s="136" t="str">
        <f t="shared" si="125"/>
        <v/>
      </c>
      <c r="Y242" s="136" t="str">
        <f t="shared" si="116"/>
        <v/>
      </c>
      <c r="Z242" s="136" t="str">
        <f t="shared" si="117"/>
        <v/>
      </c>
      <c r="AA242" s="137" t="str">
        <f t="shared" si="126"/>
        <v/>
      </c>
      <c r="AB242" s="135" t="str">
        <f t="shared" si="127"/>
        <v/>
      </c>
      <c r="AC242" s="135" t="str">
        <f t="shared" si="128"/>
        <v/>
      </c>
      <c r="AD242" s="136" t="str">
        <f t="shared" si="129"/>
        <v/>
      </c>
      <c r="AE242" s="136" t="str">
        <f t="shared" si="130"/>
        <v/>
      </c>
      <c r="AF242" s="136" t="str">
        <f t="shared" si="118"/>
        <v/>
      </c>
      <c r="AG242" s="136" t="str">
        <f t="shared" si="119"/>
        <v/>
      </c>
      <c r="AH242" s="137" t="str">
        <f t="shared" si="131"/>
        <v/>
      </c>
      <c r="AI242" s="135" t="str">
        <f t="shared" si="132"/>
        <v/>
      </c>
      <c r="AJ242" s="135" t="str">
        <f t="shared" si="133"/>
        <v/>
      </c>
      <c r="AK242" s="31" t="str">
        <f t="shared" si="134"/>
        <v/>
      </c>
      <c r="AL242" s="31" t="str">
        <f t="shared" si="135"/>
        <v/>
      </c>
    </row>
    <row r="243" spans="4:38" x14ac:dyDescent="0.25">
      <c r="D243" s="5" t="str">
        <f>IFERROR(VLOOKUP(E243,'Chemical data ref sheet'!$A$1:$E$163,2,FALSE),"")</f>
        <v/>
      </c>
      <c r="E243" s="16"/>
      <c r="F243" s="5" t="str">
        <f>IFERROR(VLOOKUP(E243,'Chemical data ref sheet'!$A$1:$E$163,3,FALSE),"")</f>
        <v/>
      </c>
      <c r="G243" s="5"/>
      <c r="H243" s="5" t="str">
        <f>IFERROR(VLOOKUP(E243,'Chemical data ref sheet'!$A$1:$E$163,4,FALSE),"")</f>
        <v/>
      </c>
      <c r="I243" s="5" t="str">
        <f>IFERROR(VLOOKUP(E243,'Chemical data ref sheet'!$A$1:$E$163,5,FALSE),"")</f>
        <v/>
      </c>
      <c r="J243" s="7"/>
      <c r="K243" s="7"/>
      <c r="L243" s="290"/>
      <c r="M243" s="7"/>
      <c r="N243" s="7"/>
      <c r="O243" s="7"/>
      <c r="P243" s="133">
        <f>SUMIFS('Product samples'!E:E, 'Product samples'!A:A, B243)</f>
        <v>0</v>
      </c>
      <c r="Q243" s="134">
        <f t="shared" si="120"/>
        <v>0</v>
      </c>
      <c r="R243" s="57" t="str">
        <f t="shared" si="114"/>
        <v/>
      </c>
      <c r="S243" s="135" t="str">
        <f t="shared" si="115"/>
        <v/>
      </c>
      <c r="T243" s="132" t="str">
        <f t="shared" si="121"/>
        <v/>
      </c>
      <c r="U243" s="32" t="str">
        <f t="shared" si="122"/>
        <v/>
      </c>
      <c r="V243" s="135" t="str">
        <f t="shared" si="123"/>
        <v/>
      </c>
      <c r="W243" s="136" t="str">
        <f t="shared" si="124"/>
        <v/>
      </c>
      <c r="X243" s="136" t="str">
        <f t="shared" si="125"/>
        <v/>
      </c>
      <c r="Y243" s="136" t="str">
        <f t="shared" si="116"/>
        <v/>
      </c>
      <c r="Z243" s="136" t="str">
        <f t="shared" si="117"/>
        <v/>
      </c>
      <c r="AA243" s="137" t="str">
        <f t="shared" si="126"/>
        <v/>
      </c>
      <c r="AB243" s="135" t="str">
        <f t="shared" si="127"/>
        <v/>
      </c>
      <c r="AC243" s="135" t="str">
        <f t="shared" si="128"/>
        <v/>
      </c>
      <c r="AD243" s="136" t="str">
        <f t="shared" si="129"/>
        <v/>
      </c>
      <c r="AE243" s="136" t="str">
        <f t="shared" si="130"/>
        <v/>
      </c>
      <c r="AF243" s="136" t="str">
        <f t="shared" si="118"/>
        <v/>
      </c>
      <c r="AG243" s="136" t="str">
        <f t="shared" si="119"/>
        <v/>
      </c>
      <c r="AH243" s="137" t="str">
        <f t="shared" si="131"/>
        <v/>
      </c>
      <c r="AI243" s="135" t="str">
        <f t="shared" si="132"/>
        <v/>
      </c>
      <c r="AJ243" s="135" t="str">
        <f t="shared" si="133"/>
        <v/>
      </c>
      <c r="AK243" s="31" t="str">
        <f t="shared" si="134"/>
        <v/>
      </c>
      <c r="AL243" s="31" t="str">
        <f t="shared" si="135"/>
        <v/>
      </c>
    </row>
    <row r="244" spans="4:38" x14ac:dyDescent="0.25">
      <c r="D244" s="5" t="str">
        <f>IFERROR(VLOOKUP(E244,'Chemical data ref sheet'!$A$1:$E$163,2,FALSE),"")</f>
        <v/>
      </c>
      <c r="E244" s="16"/>
      <c r="F244" s="5" t="str">
        <f>IFERROR(VLOOKUP(E244,'Chemical data ref sheet'!$A$1:$E$163,3,FALSE),"")</f>
        <v/>
      </c>
      <c r="G244" s="5"/>
      <c r="H244" s="5" t="str">
        <f>IFERROR(VLOOKUP(E244,'Chemical data ref sheet'!$A$1:$E$163,4,FALSE),"")</f>
        <v/>
      </c>
      <c r="I244" s="5" t="str">
        <f>IFERROR(VLOOKUP(E244,'Chemical data ref sheet'!$A$1:$E$163,5,FALSE),"")</f>
        <v/>
      </c>
      <c r="J244" s="7"/>
      <c r="K244" s="7"/>
      <c r="L244" s="290"/>
      <c r="M244" s="7"/>
      <c r="N244" s="7"/>
      <c r="O244" s="7"/>
      <c r="P244" s="133">
        <f>SUMIFS('Product samples'!E:E, 'Product samples'!A:A, B244)</f>
        <v>0</v>
      </c>
      <c r="Q244" s="134">
        <f t="shared" si="120"/>
        <v>0</v>
      </c>
      <c r="R244" s="57" t="str">
        <f t="shared" si="114"/>
        <v/>
      </c>
      <c r="S244" s="135" t="str">
        <f t="shared" si="115"/>
        <v/>
      </c>
      <c r="T244" s="132" t="str">
        <f t="shared" si="121"/>
        <v/>
      </c>
      <c r="U244" s="32" t="str">
        <f t="shared" si="122"/>
        <v/>
      </c>
      <c r="V244" s="135" t="str">
        <f t="shared" si="123"/>
        <v/>
      </c>
      <c r="W244" s="136" t="str">
        <f t="shared" si="124"/>
        <v/>
      </c>
      <c r="X244" s="136" t="str">
        <f t="shared" si="125"/>
        <v/>
      </c>
      <c r="Y244" s="136" t="str">
        <f t="shared" si="116"/>
        <v/>
      </c>
      <c r="Z244" s="136" t="str">
        <f t="shared" si="117"/>
        <v/>
      </c>
      <c r="AA244" s="137" t="str">
        <f t="shared" si="126"/>
        <v/>
      </c>
      <c r="AB244" s="135" t="str">
        <f t="shared" si="127"/>
        <v/>
      </c>
      <c r="AC244" s="135" t="str">
        <f t="shared" si="128"/>
        <v/>
      </c>
      <c r="AD244" s="136" t="str">
        <f t="shared" si="129"/>
        <v/>
      </c>
      <c r="AE244" s="136" t="str">
        <f t="shared" si="130"/>
        <v/>
      </c>
      <c r="AF244" s="136" t="str">
        <f t="shared" si="118"/>
        <v/>
      </c>
      <c r="AG244" s="136" t="str">
        <f t="shared" si="119"/>
        <v/>
      </c>
      <c r="AH244" s="137" t="str">
        <f t="shared" si="131"/>
        <v/>
      </c>
      <c r="AI244" s="135" t="str">
        <f t="shared" si="132"/>
        <v/>
      </c>
      <c r="AJ244" s="135" t="str">
        <f t="shared" si="133"/>
        <v/>
      </c>
      <c r="AK244" s="31" t="str">
        <f t="shared" si="134"/>
        <v/>
      </c>
      <c r="AL244" s="31" t="str">
        <f t="shared" si="135"/>
        <v/>
      </c>
    </row>
    <row r="245" spans="4:38" x14ac:dyDescent="0.25">
      <c r="D245" s="5" t="str">
        <f>IFERROR(VLOOKUP(E245,'Chemical data ref sheet'!$A$1:$E$163,2,FALSE),"")</f>
        <v/>
      </c>
      <c r="E245" s="16"/>
      <c r="F245" s="5" t="str">
        <f>IFERROR(VLOOKUP(E245,'Chemical data ref sheet'!$A$1:$E$163,3,FALSE),"")</f>
        <v/>
      </c>
      <c r="G245" s="5"/>
      <c r="H245" s="5" t="str">
        <f>IFERROR(VLOOKUP(E245,'Chemical data ref sheet'!$A$1:$E$163,4,FALSE),"")</f>
        <v/>
      </c>
      <c r="I245" s="5" t="str">
        <f>IFERROR(VLOOKUP(E245,'Chemical data ref sheet'!$A$1:$E$163,5,FALSE),"")</f>
        <v/>
      </c>
      <c r="J245" s="7"/>
      <c r="K245" s="7"/>
      <c r="L245" s="290"/>
      <c r="M245" s="7"/>
      <c r="N245" s="7"/>
      <c r="O245" s="7"/>
      <c r="P245" s="133">
        <f>SUMIFS('Product samples'!E:E, 'Product samples'!A:A, B245)</f>
        <v>0</v>
      </c>
      <c r="Q245" s="134">
        <f t="shared" si="120"/>
        <v>0</v>
      </c>
      <c r="R245" s="57" t="str">
        <f t="shared" si="114"/>
        <v/>
      </c>
      <c r="S245" s="135" t="str">
        <f t="shared" si="115"/>
        <v/>
      </c>
      <c r="T245" s="132" t="str">
        <f t="shared" si="121"/>
        <v/>
      </c>
      <c r="U245" s="32" t="str">
        <f t="shared" si="122"/>
        <v/>
      </c>
      <c r="V245" s="135" t="str">
        <f t="shared" si="123"/>
        <v/>
      </c>
      <c r="W245" s="136" t="str">
        <f t="shared" si="124"/>
        <v/>
      </c>
      <c r="X245" s="136" t="str">
        <f t="shared" si="125"/>
        <v/>
      </c>
      <c r="Y245" s="136" t="str">
        <f t="shared" si="116"/>
        <v/>
      </c>
      <c r="Z245" s="136" t="str">
        <f t="shared" si="117"/>
        <v/>
      </c>
      <c r="AA245" s="137" t="str">
        <f t="shared" si="126"/>
        <v/>
      </c>
      <c r="AB245" s="135" t="str">
        <f t="shared" si="127"/>
        <v/>
      </c>
      <c r="AC245" s="135" t="str">
        <f t="shared" si="128"/>
        <v/>
      </c>
      <c r="AD245" s="136" t="str">
        <f t="shared" si="129"/>
        <v/>
      </c>
      <c r="AE245" s="136" t="str">
        <f t="shared" si="130"/>
        <v/>
      </c>
      <c r="AF245" s="136" t="str">
        <f t="shared" si="118"/>
        <v/>
      </c>
      <c r="AG245" s="136" t="str">
        <f t="shared" si="119"/>
        <v/>
      </c>
      <c r="AH245" s="137" t="str">
        <f t="shared" si="131"/>
        <v/>
      </c>
      <c r="AI245" s="135" t="str">
        <f t="shared" si="132"/>
        <v/>
      </c>
      <c r="AJ245" s="135" t="str">
        <f t="shared" si="133"/>
        <v/>
      </c>
      <c r="AK245" s="31" t="str">
        <f t="shared" si="134"/>
        <v/>
      </c>
      <c r="AL245" s="31" t="str">
        <f t="shared" si="135"/>
        <v/>
      </c>
    </row>
    <row r="246" spans="4:38" x14ac:dyDescent="0.25">
      <c r="D246" s="5" t="str">
        <f>IFERROR(VLOOKUP(E246,'Chemical data ref sheet'!$A$1:$E$163,2,FALSE),"")</f>
        <v/>
      </c>
      <c r="E246" s="16"/>
      <c r="F246" s="5" t="str">
        <f>IFERROR(VLOOKUP(E246,'Chemical data ref sheet'!$A$1:$E$163,3,FALSE),"")</f>
        <v/>
      </c>
      <c r="G246" s="5"/>
      <c r="H246" s="5" t="str">
        <f>IFERROR(VLOOKUP(E246,'Chemical data ref sheet'!$A$1:$E$163,4,FALSE),"")</f>
        <v/>
      </c>
      <c r="I246" s="5" t="str">
        <f>IFERROR(VLOOKUP(E246,'Chemical data ref sheet'!$A$1:$E$163,5,FALSE),"")</f>
        <v/>
      </c>
      <c r="J246" s="7"/>
      <c r="K246" s="7"/>
      <c r="L246" s="290"/>
      <c r="M246" s="7"/>
      <c r="N246" s="7"/>
      <c r="O246" s="7"/>
      <c r="P246" s="133">
        <f>SUMIFS('Product samples'!E:E, 'Product samples'!A:A, B246)</f>
        <v>0</v>
      </c>
      <c r="Q246" s="134">
        <f t="shared" si="120"/>
        <v>0</v>
      </c>
      <c r="R246" s="57" t="str">
        <f t="shared" si="114"/>
        <v/>
      </c>
      <c r="S246" s="135" t="str">
        <f t="shared" si="115"/>
        <v/>
      </c>
      <c r="T246" s="132" t="str">
        <f t="shared" si="121"/>
        <v/>
      </c>
      <c r="U246" s="32" t="str">
        <f t="shared" si="122"/>
        <v/>
      </c>
      <c r="V246" s="135" t="str">
        <f t="shared" si="123"/>
        <v/>
      </c>
      <c r="W246" s="136" t="str">
        <f t="shared" si="124"/>
        <v/>
      </c>
      <c r="X246" s="136" t="str">
        <f t="shared" si="125"/>
        <v/>
      </c>
      <c r="Y246" s="136" t="str">
        <f t="shared" si="116"/>
        <v/>
      </c>
      <c r="Z246" s="136" t="str">
        <f t="shared" si="117"/>
        <v/>
      </c>
      <c r="AA246" s="137" t="str">
        <f t="shared" si="126"/>
        <v/>
      </c>
      <c r="AB246" s="135" t="str">
        <f t="shared" si="127"/>
        <v/>
      </c>
      <c r="AC246" s="135" t="str">
        <f t="shared" si="128"/>
        <v/>
      </c>
      <c r="AD246" s="136" t="str">
        <f t="shared" si="129"/>
        <v/>
      </c>
      <c r="AE246" s="136" t="str">
        <f t="shared" si="130"/>
        <v/>
      </c>
      <c r="AF246" s="136" t="str">
        <f t="shared" si="118"/>
        <v/>
      </c>
      <c r="AG246" s="136" t="str">
        <f t="shared" si="119"/>
        <v/>
      </c>
      <c r="AH246" s="137" t="str">
        <f t="shared" si="131"/>
        <v/>
      </c>
      <c r="AI246" s="135" t="str">
        <f t="shared" si="132"/>
        <v/>
      </c>
      <c r="AJ246" s="135" t="str">
        <f t="shared" si="133"/>
        <v/>
      </c>
      <c r="AK246" s="31" t="str">
        <f t="shared" si="134"/>
        <v/>
      </c>
      <c r="AL246" s="31" t="str">
        <f t="shared" si="135"/>
        <v/>
      </c>
    </row>
    <row r="247" spans="4:38" x14ac:dyDescent="0.25">
      <c r="D247" s="5" t="str">
        <f>IFERROR(VLOOKUP(E247,'Chemical data ref sheet'!$A$1:$E$163,2,FALSE),"")</f>
        <v/>
      </c>
      <c r="E247" s="16"/>
      <c r="F247" s="5" t="str">
        <f>IFERROR(VLOOKUP(E247,'Chemical data ref sheet'!$A$1:$E$163,3,FALSE),"")</f>
        <v/>
      </c>
      <c r="G247" s="5"/>
      <c r="H247" s="5" t="str">
        <f>IFERROR(VLOOKUP(E247,'Chemical data ref sheet'!$A$1:$E$163,4,FALSE),"")</f>
        <v/>
      </c>
      <c r="I247" s="5" t="str">
        <f>IFERROR(VLOOKUP(E247,'Chemical data ref sheet'!$A$1:$E$163,5,FALSE),"")</f>
        <v/>
      </c>
      <c r="J247" s="7"/>
      <c r="K247" s="7"/>
      <c r="L247" s="290"/>
      <c r="M247" s="7"/>
      <c r="N247" s="7"/>
      <c r="O247" s="7"/>
      <c r="P247" s="133">
        <f>SUMIFS('Product samples'!E:E, 'Product samples'!A:A, B247)</f>
        <v>0</v>
      </c>
      <c r="Q247" s="134">
        <f t="shared" si="120"/>
        <v>0</v>
      </c>
      <c r="R247" s="57" t="str">
        <f t="shared" si="114"/>
        <v/>
      </c>
      <c r="S247" s="135" t="str">
        <f t="shared" si="115"/>
        <v/>
      </c>
      <c r="T247" s="132" t="str">
        <f t="shared" si="121"/>
        <v/>
      </c>
      <c r="U247" s="32" t="str">
        <f t="shared" si="122"/>
        <v/>
      </c>
      <c r="V247" s="135" t="str">
        <f t="shared" si="123"/>
        <v/>
      </c>
      <c r="W247" s="136" t="str">
        <f t="shared" si="124"/>
        <v/>
      </c>
      <c r="X247" s="136" t="str">
        <f t="shared" si="125"/>
        <v/>
      </c>
      <c r="Y247" s="136" t="str">
        <f t="shared" si="116"/>
        <v/>
      </c>
      <c r="Z247" s="136" t="str">
        <f t="shared" si="117"/>
        <v/>
      </c>
      <c r="AA247" s="137" t="str">
        <f t="shared" si="126"/>
        <v/>
      </c>
      <c r="AB247" s="135" t="str">
        <f t="shared" si="127"/>
        <v/>
      </c>
      <c r="AC247" s="135" t="str">
        <f t="shared" si="128"/>
        <v/>
      </c>
      <c r="AD247" s="136" t="str">
        <f t="shared" si="129"/>
        <v/>
      </c>
      <c r="AE247" s="136" t="str">
        <f t="shared" si="130"/>
        <v/>
      </c>
      <c r="AF247" s="136" t="str">
        <f t="shared" si="118"/>
        <v/>
      </c>
      <c r="AG247" s="136" t="str">
        <f t="shared" si="119"/>
        <v/>
      </c>
      <c r="AH247" s="137" t="str">
        <f t="shared" si="131"/>
        <v/>
      </c>
      <c r="AI247" s="135" t="str">
        <f t="shared" si="132"/>
        <v/>
      </c>
      <c r="AJ247" s="135" t="str">
        <f t="shared" si="133"/>
        <v/>
      </c>
      <c r="AK247" s="31" t="str">
        <f t="shared" si="134"/>
        <v/>
      </c>
      <c r="AL247" s="31" t="str">
        <f t="shared" si="135"/>
        <v/>
      </c>
    </row>
    <row r="248" spans="4:38" x14ac:dyDescent="0.25">
      <c r="D248" s="5" t="str">
        <f>IFERROR(VLOOKUP(E248,'Chemical data ref sheet'!$A$1:$E$163,2,FALSE),"")</f>
        <v/>
      </c>
      <c r="E248" s="16"/>
      <c r="F248" s="5" t="str">
        <f>IFERROR(VLOOKUP(E248,'Chemical data ref sheet'!$A$1:$E$163,3,FALSE),"")</f>
        <v/>
      </c>
      <c r="G248" s="5"/>
      <c r="H248" s="5" t="str">
        <f>IFERROR(VLOOKUP(E248,'Chemical data ref sheet'!$A$1:$E$163,4,FALSE),"")</f>
        <v/>
      </c>
      <c r="I248" s="5" t="str">
        <f>IFERROR(VLOOKUP(E248,'Chemical data ref sheet'!$A$1:$E$163,5,FALSE),"")</f>
        <v/>
      </c>
      <c r="J248" s="7"/>
      <c r="K248" s="7"/>
      <c r="L248" s="290"/>
      <c r="M248" s="7"/>
      <c r="N248" s="7"/>
      <c r="O248" s="7"/>
      <c r="P248" s="133">
        <f>SUMIFS('Product samples'!E:E, 'Product samples'!A:A, B248)</f>
        <v>0</v>
      </c>
      <c r="Q248" s="134">
        <f t="shared" si="120"/>
        <v>0</v>
      </c>
      <c r="R248" s="57" t="str">
        <f t="shared" si="114"/>
        <v/>
      </c>
      <c r="S248" s="135" t="str">
        <f t="shared" si="115"/>
        <v/>
      </c>
      <c r="T248" s="132" t="str">
        <f t="shared" si="121"/>
        <v/>
      </c>
      <c r="U248" s="32" t="str">
        <f t="shared" si="122"/>
        <v/>
      </c>
      <c r="V248" s="135" t="str">
        <f t="shared" si="123"/>
        <v/>
      </c>
      <c r="W248" s="136" t="str">
        <f t="shared" si="124"/>
        <v/>
      </c>
      <c r="X248" s="136" t="str">
        <f t="shared" si="125"/>
        <v/>
      </c>
      <c r="Y248" s="136" t="str">
        <f t="shared" si="116"/>
        <v/>
      </c>
      <c r="Z248" s="136" t="str">
        <f t="shared" si="117"/>
        <v/>
      </c>
      <c r="AA248" s="137" t="str">
        <f t="shared" si="126"/>
        <v/>
      </c>
      <c r="AB248" s="135" t="str">
        <f t="shared" si="127"/>
        <v/>
      </c>
      <c r="AC248" s="135" t="str">
        <f t="shared" si="128"/>
        <v/>
      </c>
      <c r="AD248" s="136" t="str">
        <f t="shared" si="129"/>
        <v/>
      </c>
      <c r="AE248" s="136" t="str">
        <f t="shared" si="130"/>
        <v/>
      </c>
      <c r="AF248" s="136" t="str">
        <f t="shared" si="118"/>
        <v/>
      </c>
      <c r="AG248" s="136" t="str">
        <f t="shared" si="119"/>
        <v/>
      </c>
      <c r="AH248" s="137" t="str">
        <f t="shared" si="131"/>
        <v/>
      </c>
      <c r="AI248" s="135" t="str">
        <f t="shared" si="132"/>
        <v/>
      </c>
      <c r="AJ248" s="135" t="str">
        <f t="shared" si="133"/>
        <v/>
      </c>
      <c r="AK248" s="31" t="str">
        <f t="shared" si="134"/>
        <v/>
      </c>
      <c r="AL248" s="31" t="str">
        <f t="shared" si="135"/>
        <v/>
      </c>
    </row>
    <row r="249" spans="4:38" x14ac:dyDescent="0.25">
      <c r="D249" s="5" t="str">
        <f>IFERROR(VLOOKUP(E249,'Chemical data ref sheet'!$A$1:$E$163,2,FALSE),"")</f>
        <v/>
      </c>
      <c r="E249" s="16"/>
      <c r="F249" s="5" t="str">
        <f>IFERROR(VLOOKUP(E249,'Chemical data ref sheet'!$A$1:$E$163,3,FALSE),"")</f>
        <v/>
      </c>
      <c r="G249" s="5"/>
      <c r="H249" s="5" t="str">
        <f>IFERROR(VLOOKUP(E249,'Chemical data ref sheet'!$A$1:$E$163,4,FALSE),"")</f>
        <v/>
      </c>
      <c r="I249" s="5" t="str">
        <f>IFERROR(VLOOKUP(E249,'Chemical data ref sheet'!$A$1:$E$163,5,FALSE),"")</f>
        <v/>
      </c>
      <c r="J249" s="7"/>
      <c r="K249" s="7"/>
      <c r="L249" s="290"/>
      <c r="M249" s="7"/>
      <c r="N249" s="7"/>
      <c r="O249" s="7"/>
      <c r="P249" s="133">
        <f>SUMIFS('Product samples'!E:E, 'Product samples'!A:A, B249)</f>
        <v>0</v>
      </c>
      <c r="Q249" s="134">
        <f t="shared" si="120"/>
        <v>0</v>
      </c>
      <c r="R249" s="57" t="str">
        <f t="shared" si="114"/>
        <v/>
      </c>
      <c r="S249" s="135" t="str">
        <f t="shared" si="115"/>
        <v/>
      </c>
      <c r="T249" s="132" t="str">
        <f t="shared" si="121"/>
        <v/>
      </c>
      <c r="U249" s="32" t="str">
        <f t="shared" si="122"/>
        <v/>
      </c>
      <c r="V249" s="135" t="str">
        <f t="shared" si="123"/>
        <v/>
      </c>
      <c r="W249" s="136" t="str">
        <f t="shared" si="124"/>
        <v/>
      </c>
      <c r="X249" s="136" t="str">
        <f t="shared" si="125"/>
        <v/>
      </c>
      <c r="Y249" s="136" t="str">
        <f t="shared" si="116"/>
        <v/>
      </c>
      <c r="Z249" s="136" t="str">
        <f t="shared" si="117"/>
        <v/>
      </c>
      <c r="AA249" s="137" t="str">
        <f t="shared" si="126"/>
        <v/>
      </c>
      <c r="AB249" s="135" t="str">
        <f t="shared" si="127"/>
        <v/>
      </c>
      <c r="AC249" s="135" t="str">
        <f t="shared" si="128"/>
        <v/>
      </c>
      <c r="AD249" s="136" t="str">
        <f t="shared" si="129"/>
        <v/>
      </c>
      <c r="AE249" s="136" t="str">
        <f t="shared" si="130"/>
        <v/>
      </c>
      <c r="AF249" s="136" t="str">
        <f t="shared" si="118"/>
        <v/>
      </c>
      <c r="AG249" s="136" t="str">
        <f t="shared" si="119"/>
        <v/>
      </c>
      <c r="AH249" s="137" t="str">
        <f t="shared" si="131"/>
        <v/>
      </c>
      <c r="AI249" s="135" t="str">
        <f t="shared" si="132"/>
        <v/>
      </c>
      <c r="AJ249" s="135" t="str">
        <f t="shared" si="133"/>
        <v/>
      </c>
      <c r="AK249" s="31" t="str">
        <f t="shared" si="134"/>
        <v/>
      </c>
      <c r="AL249" s="31" t="str">
        <f t="shared" si="135"/>
        <v/>
      </c>
    </row>
    <row r="250" spans="4:38" x14ac:dyDescent="0.25">
      <c r="D250" s="5" t="str">
        <f>IFERROR(VLOOKUP(E250,'Chemical data ref sheet'!$A$1:$E$163,2,FALSE),"")</f>
        <v/>
      </c>
      <c r="E250" s="16"/>
      <c r="F250" s="5" t="str">
        <f>IFERROR(VLOOKUP(E250,'Chemical data ref sheet'!$A$1:$E$163,3,FALSE),"")</f>
        <v/>
      </c>
      <c r="G250" s="5"/>
      <c r="H250" s="5" t="str">
        <f>IFERROR(VLOOKUP(E250,'Chemical data ref sheet'!$A$1:$E$163,4,FALSE),"")</f>
        <v/>
      </c>
      <c r="I250" s="5" t="str">
        <f>IFERROR(VLOOKUP(E250,'Chemical data ref sheet'!$A$1:$E$163,5,FALSE),"")</f>
        <v/>
      </c>
      <c r="J250" s="7"/>
      <c r="K250" s="7"/>
      <c r="L250" s="290"/>
      <c r="M250" s="7"/>
      <c r="N250" s="7"/>
      <c r="O250" s="7"/>
      <c r="P250" s="133">
        <f>SUMIFS('Product samples'!E:E, 'Product samples'!A:A, B250)</f>
        <v>0</v>
      </c>
      <c r="Q250" s="134">
        <f t="shared" si="120"/>
        <v>0</v>
      </c>
      <c r="R250" s="57" t="str">
        <f t="shared" si="114"/>
        <v/>
      </c>
      <c r="S250" s="135" t="str">
        <f t="shared" si="115"/>
        <v/>
      </c>
      <c r="T250" s="132" t="str">
        <f t="shared" si="121"/>
        <v/>
      </c>
      <c r="U250" s="32" t="str">
        <f t="shared" si="122"/>
        <v/>
      </c>
      <c r="V250" s="135" t="str">
        <f t="shared" si="123"/>
        <v/>
      </c>
      <c r="W250" s="136" t="str">
        <f t="shared" si="124"/>
        <v/>
      </c>
      <c r="X250" s="136" t="str">
        <f t="shared" si="125"/>
        <v/>
      </c>
      <c r="Y250" s="136" t="str">
        <f t="shared" si="116"/>
        <v/>
      </c>
      <c r="Z250" s="136" t="str">
        <f t="shared" si="117"/>
        <v/>
      </c>
      <c r="AA250" s="137" t="str">
        <f t="shared" si="126"/>
        <v/>
      </c>
      <c r="AB250" s="135" t="str">
        <f t="shared" si="127"/>
        <v/>
      </c>
      <c r="AC250" s="135" t="str">
        <f t="shared" si="128"/>
        <v/>
      </c>
      <c r="AD250" s="136" t="str">
        <f t="shared" si="129"/>
        <v/>
      </c>
      <c r="AE250" s="136" t="str">
        <f t="shared" si="130"/>
        <v/>
      </c>
      <c r="AF250" s="136" t="str">
        <f t="shared" si="118"/>
        <v/>
      </c>
      <c r="AG250" s="136" t="str">
        <f t="shared" si="119"/>
        <v/>
      </c>
      <c r="AH250" s="137" t="str">
        <f t="shared" si="131"/>
        <v/>
      </c>
      <c r="AI250" s="135" t="str">
        <f t="shared" si="132"/>
        <v/>
      </c>
      <c r="AJ250" s="135" t="str">
        <f t="shared" si="133"/>
        <v/>
      </c>
      <c r="AK250" s="31" t="str">
        <f t="shared" si="134"/>
        <v/>
      </c>
      <c r="AL250" s="31" t="str">
        <f t="shared" si="135"/>
        <v/>
      </c>
    </row>
    <row r="251" spans="4:38" x14ac:dyDescent="0.25">
      <c r="D251" s="5" t="str">
        <f>IFERROR(VLOOKUP(E251,'Chemical data ref sheet'!$A$1:$E$163,2,FALSE),"")</f>
        <v/>
      </c>
      <c r="E251" s="16"/>
      <c r="F251" s="5" t="str">
        <f>IFERROR(VLOOKUP(E251,'Chemical data ref sheet'!$A$1:$E$163,3,FALSE),"")</f>
        <v/>
      </c>
      <c r="G251" s="5"/>
      <c r="H251" s="5" t="str">
        <f>IFERROR(VLOOKUP(E251,'Chemical data ref sheet'!$A$1:$E$163,4,FALSE),"")</f>
        <v/>
      </c>
      <c r="I251" s="5" t="str">
        <f>IFERROR(VLOOKUP(E251,'Chemical data ref sheet'!$A$1:$E$163,5,FALSE),"")</f>
        <v/>
      </c>
      <c r="J251" s="7"/>
      <c r="K251" s="7"/>
      <c r="L251" s="290"/>
      <c r="M251" s="7"/>
      <c r="N251" s="7"/>
      <c r="O251" s="7"/>
      <c r="P251" s="133">
        <f>SUMIFS('Product samples'!E:E, 'Product samples'!A:A, B251)</f>
        <v>0</v>
      </c>
      <c r="Q251" s="134">
        <f t="shared" si="120"/>
        <v>0</v>
      </c>
      <c r="R251" s="57" t="str">
        <f t="shared" si="114"/>
        <v/>
      </c>
      <c r="S251" s="135" t="str">
        <f t="shared" si="115"/>
        <v/>
      </c>
      <c r="T251" s="132" t="str">
        <f t="shared" si="121"/>
        <v/>
      </c>
      <c r="U251" s="32" t="str">
        <f t="shared" si="122"/>
        <v/>
      </c>
      <c r="V251" s="135" t="str">
        <f t="shared" si="123"/>
        <v/>
      </c>
      <c r="W251" s="136" t="str">
        <f t="shared" si="124"/>
        <v/>
      </c>
      <c r="X251" s="136" t="str">
        <f t="shared" si="125"/>
        <v/>
      </c>
      <c r="Y251" s="136" t="str">
        <f t="shared" si="116"/>
        <v/>
      </c>
      <c r="Z251" s="136" t="str">
        <f t="shared" si="117"/>
        <v/>
      </c>
      <c r="AA251" s="137" t="str">
        <f t="shared" si="126"/>
        <v/>
      </c>
      <c r="AB251" s="135" t="str">
        <f t="shared" si="127"/>
        <v/>
      </c>
      <c r="AC251" s="135" t="str">
        <f t="shared" si="128"/>
        <v/>
      </c>
      <c r="AD251" s="136" t="str">
        <f t="shared" si="129"/>
        <v/>
      </c>
      <c r="AE251" s="136" t="str">
        <f t="shared" si="130"/>
        <v/>
      </c>
      <c r="AF251" s="136" t="str">
        <f t="shared" si="118"/>
        <v/>
      </c>
      <c r="AG251" s="136" t="str">
        <f t="shared" si="119"/>
        <v/>
      </c>
      <c r="AH251" s="137" t="str">
        <f t="shared" si="131"/>
        <v/>
      </c>
      <c r="AI251" s="135" t="str">
        <f t="shared" si="132"/>
        <v/>
      </c>
      <c r="AJ251" s="135" t="str">
        <f t="shared" si="133"/>
        <v/>
      </c>
      <c r="AK251" s="31" t="str">
        <f t="shared" si="134"/>
        <v/>
      </c>
      <c r="AL251" s="31" t="str">
        <f t="shared" si="135"/>
        <v/>
      </c>
    </row>
    <row r="252" spans="4:38" x14ac:dyDescent="0.25">
      <c r="D252" s="5" t="str">
        <f>IFERROR(VLOOKUP(E252,'Chemical data ref sheet'!$A$1:$E$163,2,FALSE),"")</f>
        <v/>
      </c>
      <c r="E252" s="16"/>
      <c r="F252" s="5" t="str">
        <f>IFERROR(VLOOKUP(E252,'Chemical data ref sheet'!$A$1:$E$163,3,FALSE),"")</f>
        <v/>
      </c>
      <c r="G252" s="5"/>
      <c r="H252" s="5" t="str">
        <f>IFERROR(VLOOKUP(E252,'Chemical data ref sheet'!$A$1:$E$163,4,FALSE),"")</f>
        <v/>
      </c>
      <c r="I252" s="5" t="str">
        <f>IFERROR(VLOOKUP(E252,'Chemical data ref sheet'!$A$1:$E$163,5,FALSE),"")</f>
        <v/>
      </c>
      <c r="J252" s="7"/>
      <c r="K252" s="7"/>
      <c r="L252" s="290"/>
      <c r="M252" s="7"/>
      <c r="N252" s="7"/>
      <c r="O252" s="7"/>
      <c r="P252" s="133">
        <f>SUMIFS('Product samples'!E:E, 'Product samples'!A:A, B252)</f>
        <v>0</v>
      </c>
      <c r="Q252" s="134">
        <f t="shared" si="120"/>
        <v>0</v>
      </c>
      <c r="R252" s="57" t="str">
        <f t="shared" si="114"/>
        <v/>
      </c>
      <c r="S252" s="135" t="str">
        <f t="shared" si="115"/>
        <v/>
      </c>
      <c r="T252" s="132" t="str">
        <f t="shared" si="121"/>
        <v/>
      </c>
      <c r="U252" s="32" t="str">
        <f t="shared" si="122"/>
        <v/>
      </c>
      <c r="V252" s="135" t="str">
        <f t="shared" si="123"/>
        <v/>
      </c>
      <c r="W252" s="136" t="str">
        <f t="shared" si="124"/>
        <v/>
      </c>
      <c r="X252" s="136" t="str">
        <f t="shared" si="125"/>
        <v/>
      </c>
      <c r="Y252" s="136" t="str">
        <f t="shared" si="116"/>
        <v/>
      </c>
      <c r="Z252" s="136" t="str">
        <f t="shared" si="117"/>
        <v/>
      </c>
      <c r="AA252" s="137" t="str">
        <f t="shared" si="126"/>
        <v/>
      </c>
      <c r="AB252" s="135" t="str">
        <f t="shared" si="127"/>
        <v/>
      </c>
      <c r="AC252" s="135" t="str">
        <f t="shared" si="128"/>
        <v/>
      </c>
      <c r="AD252" s="136" t="str">
        <f t="shared" si="129"/>
        <v/>
      </c>
      <c r="AE252" s="136" t="str">
        <f t="shared" si="130"/>
        <v/>
      </c>
      <c r="AF252" s="136" t="str">
        <f t="shared" si="118"/>
        <v/>
      </c>
      <c r="AG252" s="136" t="str">
        <f t="shared" si="119"/>
        <v/>
      </c>
      <c r="AH252" s="137" t="str">
        <f t="shared" si="131"/>
        <v/>
      </c>
      <c r="AI252" s="135" t="str">
        <f t="shared" si="132"/>
        <v/>
      </c>
      <c r="AJ252" s="135" t="str">
        <f t="shared" si="133"/>
        <v/>
      </c>
      <c r="AK252" s="31" t="str">
        <f t="shared" si="134"/>
        <v/>
      </c>
      <c r="AL252" s="31" t="str">
        <f t="shared" si="135"/>
        <v/>
      </c>
    </row>
    <row r="253" spans="4:38" x14ac:dyDescent="0.25">
      <c r="D253" s="5" t="str">
        <f>IFERROR(VLOOKUP(E253,'Chemical data ref sheet'!$A$1:$E$163,2,FALSE),"")</f>
        <v/>
      </c>
      <c r="E253" s="16"/>
      <c r="F253" s="5"/>
      <c r="G253" s="5"/>
      <c r="H253" s="5" t="str">
        <f>IFERROR(VLOOKUP(E253,'Chemical data ref sheet'!$A$1:$E$163,4,FALSE),"")</f>
        <v/>
      </c>
      <c r="I253" s="5" t="str">
        <f>IFERROR(VLOOKUP(E253,'Chemical data ref sheet'!$A$1:$E$163,5,FALSE),"")</f>
        <v/>
      </c>
      <c r="J253" s="7"/>
      <c r="K253" s="7"/>
      <c r="L253" s="290"/>
      <c r="M253" s="7"/>
      <c r="N253" s="7"/>
      <c r="O253" s="7"/>
      <c r="P253" s="133">
        <f>SUMIFS('Product samples'!E:E, 'Product samples'!A:A, B253)</f>
        <v>0</v>
      </c>
      <c r="Q253" s="134">
        <f t="shared" si="120"/>
        <v>0</v>
      </c>
      <c r="R253" s="57" t="str">
        <f t="shared" si="114"/>
        <v/>
      </c>
      <c r="S253" s="135" t="str">
        <f t="shared" si="115"/>
        <v/>
      </c>
      <c r="T253" s="132" t="str">
        <f t="shared" si="121"/>
        <v/>
      </c>
      <c r="U253" s="32" t="str">
        <f t="shared" si="122"/>
        <v/>
      </c>
      <c r="V253" s="135" t="str">
        <f t="shared" si="123"/>
        <v/>
      </c>
      <c r="W253" s="136" t="str">
        <f t="shared" si="124"/>
        <v/>
      </c>
      <c r="X253" s="136" t="str">
        <f t="shared" si="125"/>
        <v/>
      </c>
      <c r="Y253" s="136" t="str">
        <f t="shared" si="116"/>
        <v/>
      </c>
      <c r="Z253" s="136" t="str">
        <f t="shared" si="117"/>
        <v/>
      </c>
      <c r="AA253" s="137" t="str">
        <f t="shared" si="126"/>
        <v/>
      </c>
      <c r="AB253" s="135" t="str">
        <f t="shared" si="127"/>
        <v/>
      </c>
      <c r="AC253" s="135" t="str">
        <f t="shared" si="128"/>
        <v/>
      </c>
      <c r="AD253" s="136" t="str">
        <f t="shared" si="129"/>
        <v/>
      </c>
      <c r="AE253" s="136" t="str">
        <f t="shared" si="130"/>
        <v/>
      </c>
      <c r="AF253" s="136" t="str">
        <f t="shared" si="118"/>
        <v/>
      </c>
      <c r="AG253" s="136" t="str">
        <f t="shared" si="119"/>
        <v/>
      </c>
      <c r="AH253" s="137" t="str">
        <f t="shared" si="131"/>
        <v/>
      </c>
      <c r="AI253" s="135" t="str">
        <f t="shared" si="132"/>
        <v/>
      </c>
      <c r="AJ253" s="135" t="str">
        <f t="shared" si="133"/>
        <v/>
      </c>
      <c r="AK253" s="31" t="str">
        <f t="shared" si="134"/>
        <v/>
      </c>
      <c r="AL253" s="31" t="str">
        <f t="shared" si="135"/>
        <v/>
      </c>
    </row>
    <row r="254" spans="4:38" x14ac:dyDescent="0.25">
      <c r="D254" s="5" t="str">
        <f>IFERROR(VLOOKUP(E254,'Chemical data ref sheet'!$A$1:$E$163,2,FALSE),"")</f>
        <v/>
      </c>
      <c r="E254" s="16"/>
      <c r="F254" s="5"/>
      <c r="G254" s="5"/>
      <c r="H254" s="5" t="str">
        <f>IFERROR(VLOOKUP(E254,'Chemical data ref sheet'!$A$1:$E$163,4,FALSE),"")</f>
        <v/>
      </c>
      <c r="I254" s="5" t="str">
        <f>IFERROR(VLOOKUP(E254,'Chemical data ref sheet'!$A$1:$E$163,5,FALSE),"")</f>
        <v/>
      </c>
      <c r="J254" s="7"/>
      <c r="K254" s="7"/>
      <c r="L254" s="290"/>
      <c r="M254" s="7"/>
      <c r="N254" s="7"/>
      <c r="O254" s="7"/>
      <c r="P254" s="133">
        <f>SUMIFS('Product samples'!E:E, 'Product samples'!A:A, B254)</f>
        <v>0</v>
      </c>
      <c r="Q254" s="134">
        <f t="shared" si="120"/>
        <v>0</v>
      </c>
      <c r="R254" s="57" t="str">
        <f t="shared" si="114"/>
        <v/>
      </c>
      <c r="S254" s="135" t="str">
        <f t="shared" si="115"/>
        <v/>
      </c>
      <c r="T254" s="132" t="str">
        <f t="shared" si="121"/>
        <v/>
      </c>
      <c r="U254" s="32" t="str">
        <f t="shared" si="122"/>
        <v/>
      </c>
      <c r="V254" s="135" t="str">
        <f t="shared" si="123"/>
        <v/>
      </c>
      <c r="W254" s="136" t="str">
        <f t="shared" si="124"/>
        <v/>
      </c>
      <c r="X254" s="136" t="str">
        <f t="shared" si="125"/>
        <v/>
      </c>
      <c r="Y254" s="136" t="str">
        <f t="shared" si="116"/>
        <v/>
      </c>
      <c r="Z254" s="136" t="str">
        <f t="shared" si="117"/>
        <v/>
      </c>
      <c r="AA254" s="137" t="str">
        <f t="shared" si="126"/>
        <v/>
      </c>
      <c r="AB254" s="135" t="str">
        <f t="shared" si="127"/>
        <v/>
      </c>
      <c r="AC254" s="135" t="str">
        <f t="shared" si="128"/>
        <v/>
      </c>
      <c r="AD254" s="136" t="str">
        <f t="shared" si="129"/>
        <v/>
      </c>
      <c r="AE254" s="136" t="str">
        <f t="shared" si="130"/>
        <v/>
      </c>
      <c r="AF254" s="136" t="str">
        <f t="shared" si="118"/>
        <v/>
      </c>
      <c r="AG254" s="136" t="str">
        <f t="shared" si="119"/>
        <v/>
      </c>
      <c r="AH254" s="137" t="str">
        <f t="shared" si="131"/>
        <v/>
      </c>
      <c r="AI254" s="135" t="str">
        <f t="shared" si="132"/>
        <v/>
      </c>
      <c r="AJ254" s="135" t="str">
        <f t="shared" si="133"/>
        <v/>
      </c>
      <c r="AK254" s="31" t="str">
        <f t="shared" si="134"/>
        <v/>
      </c>
      <c r="AL254" s="31" t="str">
        <f t="shared" si="135"/>
        <v/>
      </c>
    </row>
    <row r="255" spans="4:38" x14ac:dyDescent="0.25">
      <c r="D255" s="5" t="str">
        <f>IFERROR(VLOOKUP(E255,'Chemical data ref sheet'!$A$1:$E$163,2,FALSE),"")</f>
        <v/>
      </c>
      <c r="E255" s="16"/>
      <c r="F255" s="5"/>
      <c r="G255" s="5"/>
      <c r="H255" s="5" t="str">
        <f>IFERROR(VLOOKUP(E255,'Chemical data ref sheet'!$A$1:$E$163,4,FALSE),"")</f>
        <v/>
      </c>
      <c r="I255" s="5" t="str">
        <f>IFERROR(VLOOKUP(E255,'Chemical data ref sheet'!$A$1:$E$163,5,FALSE),"")</f>
        <v/>
      </c>
      <c r="J255" s="7"/>
      <c r="K255" s="7"/>
      <c r="L255" s="290"/>
      <c r="M255" s="7"/>
      <c r="N255" s="7"/>
      <c r="O255" s="7"/>
      <c r="P255" s="133">
        <f>SUMIFS('Product samples'!E:E, 'Product samples'!A:A, B255)</f>
        <v>0</v>
      </c>
      <c r="Q255" s="134">
        <f t="shared" si="120"/>
        <v>0</v>
      </c>
      <c r="R255" s="57" t="str">
        <f t="shared" si="114"/>
        <v/>
      </c>
      <c r="S255" s="135" t="str">
        <f t="shared" si="115"/>
        <v/>
      </c>
      <c r="T255" s="132" t="str">
        <f t="shared" si="121"/>
        <v/>
      </c>
      <c r="U255" s="32" t="str">
        <f t="shared" si="122"/>
        <v/>
      </c>
      <c r="V255" s="135" t="str">
        <f t="shared" si="123"/>
        <v/>
      </c>
      <c r="W255" s="136" t="str">
        <f t="shared" si="124"/>
        <v/>
      </c>
      <c r="X255" s="136" t="str">
        <f t="shared" si="125"/>
        <v/>
      </c>
      <c r="Y255" s="136" t="str">
        <f t="shared" si="116"/>
        <v/>
      </c>
      <c r="Z255" s="136" t="str">
        <f t="shared" si="117"/>
        <v/>
      </c>
      <c r="AA255" s="137" t="str">
        <f t="shared" si="126"/>
        <v/>
      </c>
      <c r="AB255" s="135" t="str">
        <f t="shared" si="127"/>
        <v/>
      </c>
      <c r="AC255" s="135" t="str">
        <f t="shared" si="128"/>
        <v/>
      </c>
      <c r="AD255" s="136" t="str">
        <f t="shared" si="129"/>
        <v/>
      </c>
      <c r="AE255" s="136" t="str">
        <f t="shared" si="130"/>
        <v/>
      </c>
      <c r="AF255" s="136" t="str">
        <f t="shared" si="118"/>
        <v/>
      </c>
      <c r="AG255" s="136" t="str">
        <f t="shared" si="119"/>
        <v/>
      </c>
      <c r="AH255" s="137" t="str">
        <f t="shared" si="131"/>
        <v/>
      </c>
      <c r="AI255" s="135" t="str">
        <f t="shared" si="132"/>
        <v/>
      </c>
      <c r="AJ255" s="135" t="str">
        <f t="shared" si="133"/>
        <v/>
      </c>
      <c r="AK255" s="31" t="str">
        <f t="shared" si="134"/>
        <v/>
      </c>
      <c r="AL255" s="31" t="str">
        <f t="shared" si="135"/>
        <v/>
      </c>
    </row>
  </sheetData>
  <phoneticPr fontId="4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7060-B050-43ED-B032-2CB5BE13E063}">
  <sheetPr codeName="Sheet2">
    <tabColor rgb="FFC00000"/>
  </sheetPr>
  <dimension ref="A1:U100"/>
  <sheetViews>
    <sheetView workbookViewId="0">
      <selection activeCell="C9" sqref="C9"/>
    </sheetView>
  </sheetViews>
  <sheetFormatPr defaultRowHeight="15" x14ac:dyDescent="0.25"/>
  <cols>
    <col min="1" max="1" width="22.5703125" customWidth="1"/>
    <col min="2" max="2" width="15.28515625" customWidth="1"/>
    <col min="3" max="3" width="24.7109375" customWidth="1"/>
    <col min="4" max="4" width="11.28515625" customWidth="1"/>
    <col min="5" max="5" width="11.85546875" customWidth="1"/>
    <col min="6" max="6" width="13.42578125" customWidth="1"/>
    <col min="7" max="7" width="16.7109375" customWidth="1"/>
    <col min="8" max="8" width="15.140625" customWidth="1"/>
    <col min="9" max="9" width="16.28515625" customWidth="1"/>
    <col min="10" max="10" width="8.28515625" customWidth="1"/>
    <col min="11" max="11" width="11.28515625" customWidth="1"/>
    <col min="12" max="12" width="26.7109375" customWidth="1"/>
    <col min="13" max="13" width="19.85546875" customWidth="1"/>
    <col min="14" max="14" width="19.7109375" customWidth="1"/>
    <col min="15" max="15" width="18.140625" customWidth="1"/>
    <col min="16" max="17" width="14.7109375" customWidth="1"/>
    <col min="18" max="19" width="15.42578125" customWidth="1"/>
    <col min="20" max="20" width="12.5703125" customWidth="1"/>
    <col min="21" max="21" width="19" customWidth="1"/>
    <col min="22" max="22" width="14.5703125" bestFit="1" customWidth="1"/>
    <col min="23" max="23" width="20.42578125" bestFit="1" customWidth="1"/>
    <col min="24" max="24" width="14.7109375" bestFit="1" customWidth="1"/>
    <col min="25" max="25" width="8.5703125" bestFit="1" customWidth="1"/>
    <col min="26" max="26" width="4" bestFit="1" customWidth="1"/>
  </cols>
  <sheetData>
    <row r="1" spans="1:21" ht="45" customHeight="1" thickBot="1" x14ac:dyDescent="0.3">
      <c r="A1" s="35" t="s">
        <v>55</v>
      </c>
      <c r="B1" s="35" t="s">
        <v>56</v>
      </c>
      <c r="C1" s="35" t="s">
        <v>62</v>
      </c>
      <c r="D1" s="36" t="s">
        <v>60</v>
      </c>
      <c r="E1" s="36" t="s">
        <v>61</v>
      </c>
      <c r="F1" s="35" t="s">
        <v>69</v>
      </c>
      <c r="G1" s="37" t="s">
        <v>204</v>
      </c>
      <c r="H1" s="38"/>
      <c r="I1" s="40" t="s">
        <v>220</v>
      </c>
      <c r="J1" s="41" t="s">
        <v>72</v>
      </c>
      <c r="K1" s="66" t="s">
        <v>207</v>
      </c>
      <c r="L1" s="67" t="s">
        <v>224</v>
      </c>
      <c r="M1" s="42" t="s">
        <v>206</v>
      </c>
      <c r="N1" s="67" t="s">
        <v>208</v>
      </c>
      <c r="O1" s="67" t="s">
        <v>205</v>
      </c>
      <c r="P1" s="39" t="s">
        <v>170</v>
      </c>
      <c r="Q1" s="65" t="s">
        <v>203</v>
      </c>
      <c r="R1" s="65" t="s">
        <v>202</v>
      </c>
      <c r="S1" s="69"/>
      <c r="U1" s="34"/>
    </row>
    <row r="2" spans="1:21" x14ac:dyDescent="0.25">
      <c r="A2" t="str" cm="1">
        <f t="array" ref="A2:A30">_xlfn.UNIQUE(_xlfn._xlws.FILTER(PGI!D2:D255,(PGI!D2:D255&lt;&gt;"")))</f>
        <v>Phthalide (SM.1)</v>
      </c>
      <c r="B2" t="str">
        <f>IFERROR(VLOOKUP(A2,PGI!$D$2:$E$255,2,FALSE),"")</f>
        <v>87-41-2</v>
      </c>
      <c r="C2" t="str">
        <f>IFERROR(VLOOKUP(A2,PGI!$D$2:$F$255,3,FALSE),"")</f>
        <v/>
      </c>
      <c r="D2" s="1" cm="1">
        <f t="array" aca="1" ref="D2:D100" ca="1">IF(A2:A100="", "", ROUND(SUMIFS(INDIRECT("'PGI'!"&amp;CHOOSE(MATCH(Parameters!$B$8, {"Avg";"Min";"Max"}, 0), "U:U", "AB:AB", "AI:AI")), PGI!D:D, A2:A100), 2))</f>
        <v>6</v>
      </c>
      <c r="E2" s="1" cm="1">
        <f t="array" aca="1" ref="E2:E100" ca="1">IF(A2:A100="", "", ROUND(SUMIFS(INDIRECT("'PGI'!"&amp;CHOOSE(MATCH(Parameters!$B$8, {"Avg";"Min";"Max"}, 0), "V:V", "AC:AC", "AJ:AJ")), PGI!D:D, A2:A100), 2))</f>
        <v>0</v>
      </c>
      <c r="F2">
        <v>1</v>
      </c>
      <c r="G2">
        <f>IFERROR(IF(VLOOKUP(A2,PGI!$B$2:$B$255,1,FALSE)&lt;&gt;0,1,0),"")</f>
        <v>1</v>
      </c>
      <c r="H2" s="68"/>
      <c r="I2" s="33"/>
      <c r="J2" t="s">
        <v>73</v>
      </c>
      <c r="K2">
        <v>88</v>
      </c>
      <c r="L2">
        <f t="shared" ref="L2:L33" ca="1" si="0">IF(F2=1,IF(J2="kg",D2*IF(I2="",1,I2),IF(J2="L",E2*IF(I2="",1,I2),"Specify unit (L or kg)")),"")</f>
        <v>6</v>
      </c>
      <c r="M2">
        <f t="shared" ref="M2:M33" ca="1" si="1">IF(F2=1,IF(K2="","Enter price per unit",L2*K2),"")</f>
        <v>528</v>
      </c>
      <c r="N2">
        <f ca="1">IFERROR(L2/$S$6,"")</f>
        <v>3.6363636363636367</v>
      </c>
      <c r="O2">
        <f ca="1">IFERROR(M2/$S$6,"")</f>
        <v>320</v>
      </c>
      <c r="P2" s="34" t="str">
        <f>IF(OR(J2="kg",J2="L"),"","Unit not set. If mass is non-zero then unit is kg else L")</f>
        <v/>
      </c>
      <c r="S2" s="33"/>
      <c r="U2" s="34"/>
    </row>
    <row r="3" spans="1:21" x14ac:dyDescent="0.25">
      <c r="A3" t="str">
        <v>ImCHO-DMSA</v>
      </c>
      <c r="B3">
        <f>IFERROR(VLOOKUP(A3,PGI!$D$2:$E$255,2,FALSE),"")</f>
        <v>0</v>
      </c>
      <c r="C3" t="str">
        <f>IFERROR(VLOOKUP(A3,PGI!$D$2:$F$255,3,FALSE),"")</f>
        <v/>
      </c>
      <c r="D3" s="1">
        <f ca="1"/>
        <v>9.06</v>
      </c>
      <c r="E3" s="1">
        <f ca="1"/>
        <v>0</v>
      </c>
      <c r="F3">
        <v>1</v>
      </c>
      <c r="G3" t="str">
        <f>IFERROR(IF(VLOOKUP(A3,PGI!$B$2:$B$255,1,FALSE)&lt;&gt;0,1,0),"")</f>
        <v/>
      </c>
      <c r="I3" s="33"/>
      <c r="L3" t="str">
        <f t="shared" si="0"/>
        <v>Specify unit (L or kg)</v>
      </c>
      <c r="M3" t="str">
        <f t="shared" si="1"/>
        <v>Enter price per unit</v>
      </c>
      <c r="N3" t="str">
        <f t="shared" ref="N3:N14" ca="1" si="2">IFERROR(L3/$S$6,"")</f>
        <v/>
      </c>
      <c r="O3" t="str">
        <f t="shared" ref="O3:O14" ca="1" si="3">IFERROR(M3/$S$6,"")</f>
        <v/>
      </c>
      <c r="P3" s="34" t="str">
        <f>IF(AND(L3&lt;&gt;"",J3=""),"Unit not set. If mass is non-zero then unit is kg else L","")</f>
        <v>Unit not set. If mass is non-zero then unit is kg else L</v>
      </c>
      <c r="S3" s="33"/>
      <c r="U3" s="34"/>
    </row>
    <row r="4" spans="1:21" x14ac:dyDescent="0.25">
      <c r="A4" t="str">
        <v>Isopropyl acetate</v>
      </c>
      <c r="B4" t="str">
        <f>IFERROR(VLOOKUP(A4,PGI!$D$2:$E$255,2,FALSE),"")</f>
        <v>108-21-4</v>
      </c>
      <c r="C4" t="str">
        <f>IFERROR(VLOOKUP(A4,PGI!$D$2:$F$255,3,FALSE),"")</f>
        <v/>
      </c>
      <c r="D4" s="1">
        <f ca="1"/>
        <v>26.54</v>
      </c>
      <c r="E4" s="1">
        <f ca="1"/>
        <v>0</v>
      </c>
      <c r="F4">
        <v>1</v>
      </c>
      <c r="G4" t="str">
        <f>IFERROR(IF(VLOOKUP(A4,PGI!$B$2:$B$255,1,FALSE)&lt;&gt;0,1,0),"")</f>
        <v/>
      </c>
      <c r="H4" s="33"/>
      <c r="I4" s="33"/>
      <c r="J4" t="s">
        <v>239</v>
      </c>
      <c r="K4">
        <v>4.26</v>
      </c>
      <c r="L4">
        <f t="shared" ca="1" si="0"/>
        <v>0</v>
      </c>
      <c r="M4">
        <f t="shared" ca="1" si="1"/>
        <v>0</v>
      </c>
      <c r="N4">
        <f t="shared" ca="1" si="2"/>
        <v>0</v>
      </c>
      <c r="O4">
        <f t="shared" ca="1" si="3"/>
        <v>0</v>
      </c>
      <c r="P4" s="34" t="str">
        <f ca="1">IF(AND(L4&lt;&gt;"",J4=""),"Unit not set. If mass is non-zero then unit is kg else L","")</f>
        <v/>
      </c>
      <c r="S4" s="76" t="s">
        <v>219</v>
      </c>
      <c r="U4" s="34"/>
    </row>
    <row r="5" spans="1:21" ht="45" x14ac:dyDescent="0.25">
      <c r="A5" t="str">
        <v>NaOMe (30% in MeOH)</v>
      </c>
      <c r="B5">
        <f>IFERROR(VLOOKUP(A5,PGI!$D$2:$E$255,2,FALSE),"")</f>
        <v>0</v>
      </c>
      <c r="C5">
        <f>IFERROR(VLOOKUP(A5,PGI!$D$2:$F$255,3,FALSE),"")</f>
        <v>0</v>
      </c>
      <c r="D5" s="1">
        <f ca="1"/>
        <v>26.76</v>
      </c>
      <c r="E5" s="1">
        <f ca="1"/>
        <v>0</v>
      </c>
      <c r="F5" s="8">
        <v>1</v>
      </c>
      <c r="G5" t="str">
        <f>IFERROR(IF(VLOOKUP(A5,PGI!$B$2:$B$255,1,FALSE)&lt;&gt;0,1,0),"")</f>
        <v/>
      </c>
      <c r="H5" s="33"/>
      <c r="I5" s="33"/>
      <c r="J5" t="s">
        <v>239</v>
      </c>
      <c r="K5">
        <v>17.829999999999998</v>
      </c>
      <c r="L5">
        <f t="shared" ca="1" si="0"/>
        <v>0</v>
      </c>
      <c r="M5">
        <f t="shared" ca="1" si="1"/>
        <v>0</v>
      </c>
      <c r="N5">
        <f t="shared" ca="1" si="2"/>
        <v>0</v>
      </c>
      <c r="O5">
        <f t="shared" ca="1" si="3"/>
        <v>0</v>
      </c>
      <c r="P5" s="34"/>
      <c r="S5" s="70" t="s">
        <v>209</v>
      </c>
      <c r="T5" s="72" t="s">
        <v>211</v>
      </c>
      <c r="U5" s="71" t="s">
        <v>210</v>
      </c>
    </row>
    <row r="6" spans="1:21" x14ac:dyDescent="0.25">
      <c r="A6" t="str">
        <v>Water</v>
      </c>
      <c r="B6">
        <f>IFERROR(VLOOKUP(A6,PGI!$D$2:$E$255,2,FALSE),"")</f>
        <v>0</v>
      </c>
      <c r="C6" t="str">
        <f>IFERROR(VLOOKUP(A6,PGI!$D$2:$F$255,3,FALSE),"")</f>
        <v/>
      </c>
      <c r="D6" s="1">
        <f ca="1"/>
        <v>399.11</v>
      </c>
      <c r="E6" s="1">
        <f ca="1"/>
        <v>9.07</v>
      </c>
      <c r="F6">
        <v>1</v>
      </c>
      <c r="G6" t="str">
        <f>IFERROR(IF(VLOOKUP(A6,PGI!$B$2:$B$255,1,FALSE)&lt;&gt;0,1,0),"")</f>
        <v/>
      </c>
      <c r="H6" s="33"/>
      <c r="I6" s="33"/>
      <c r="J6" t="s">
        <v>239</v>
      </c>
      <c r="L6">
        <f t="shared" ca="1" si="0"/>
        <v>9.07</v>
      </c>
      <c r="M6" t="str">
        <f t="shared" si="1"/>
        <v>Enter price per unit</v>
      </c>
      <c r="N6">
        <f t="shared" ca="1" si="2"/>
        <v>5.4969696969696971</v>
      </c>
      <c r="O6" t="str">
        <f t="shared" ca="1" si="3"/>
        <v/>
      </c>
      <c r="P6" s="34" t="str">
        <f t="shared" ref="P6:P37" ca="1" si="4">IF(AND(L6&lt;&gt;"",J6=""),"Unit not set. If mass is non-zero then unit is kg else L","")</f>
        <v/>
      </c>
      <c r="S6" s="33" cm="1">
        <f t="array" aca="1" ref="S6" ca="1">LOOKUP(2, 1/($G:$G=1), $D:$D)</f>
        <v>1.65</v>
      </c>
      <c r="T6" s="8">
        <f ca="1">SUM(M:M)</f>
        <v>7074.0880999999999</v>
      </c>
      <c r="U6" s="34">
        <f ca="1">SUM(O:O)</f>
        <v>3401.7988484848488</v>
      </c>
    </row>
    <row r="7" spans="1:21" x14ac:dyDescent="0.25">
      <c r="A7" t="str">
        <v>Hydrochloric acid 35%</v>
      </c>
      <c r="B7" t="str">
        <f>IFERROR(VLOOKUP(A7,PGI!$D$2:$E$255,2,FALSE),"")</f>
        <v>7647-01-0</v>
      </c>
      <c r="C7">
        <f>IFERROR(VLOOKUP(A7,PGI!$D$2:$F$255,3,FALSE),"")</f>
        <v>0</v>
      </c>
      <c r="D7" s="1">
        <f ca="1"/>
        <v>40.090000000000003</v>
      </c>
      <c r="E7" s="1">
        <f ca="1"/>
        <v>33.409999999999997</v>
      </c>
      <c r="F7">
        <v>1</v>
      </c>
      <c r="G7" t="str">
        <f>IFERROR(IF(VLOOKUP(A7,PGI!$B$2:$B$255,1,FALSE)&lt;&gt;0,1,0),"")</f>
        <v/>
      </c>
      <c r="H7" s="33"/>
      <c r="I7" s="33"/>
      <c r="J7" t="s">
        <v>239</v>
      </c>
      <c r="K7">
        <v>3</v>
      </c>
      <c r="L7">
        <f t="shared" ca="1" si="0"/>
        <v>33.409999999999997</v>
      </c>
      <c r="M7">
        <f t="shared" ca="1" si="1"/>
        <v>100.22999999999999</v>
      </c>
      <c r="N7">
        <f t="shared" ca="1" si="2"/>
        <v>20.248484848484846</v>
      </c>
      <c r="O7">
        <f t="shared" ca="1" si="3"/>
        <v>60.745454545454542</v>
      </c>
      <c r="P7" s="34" t="str">
        <f t="shared" ca="1" si="4"/>
        <v/>
      </c>
      <c r="S7" s="69" cm="1">
        <f t="array" aca="1" ref="S7" ca="1">LOOKUP(2, 1/($G:$G=1), $D:$D)</f>
        <v>1.65</v>
      </c>
      <c r="U7" s="34"/>
    </row>
    <row r="8" spans="1:21" x14ac:dyDescent="0.25">
      <c r="A8" t="str">
        <v>2-propanol</v>
      </c>
      <c r="B8" t="str">
        <f>IFERROR(VLOOKUP(A8,PGI!$D$2:$E$255,2,FALSE),"")</f>
        <v>67-63-0</v>
      </c>
      <c r="C8">
        <f>IFERROR(VLOOKUP(A8,PGI!$D$2:$F$255,3,FALSE),"")</f>
        <v>0</v>
      </c>
      <c r="D8" s="1">
        <f ca="1"/>
        <v>36.81</v>
      </c>
      <c r="E8" s="1">
        <f ca="1"/>
        <v>46.83</v>
      </c>
      <c r="F8">
        <v>1</v>
      </c>
      <c r="G8" t="str">
        <f>IFERROR(IF(VLOOKUP(A8,PGI!$B$2:$B$255,1,FALSE)&lt;&gt;0,1,0),"")</f>
        <v/>
      </c>
      <c r="H8" s="33"/>
      <c r="I8" s="33"/>
      <c r="J8" t="s">
        <v>239</v>
      </c>
      <c r="K8">
        <v>7.95</v>
      </c>
      <c r="L8">
        <f t="shared" ca="1" si="0"/>
        <v>46.83</v>
      </c>
      <c r="M8">
        <f t="shared" ca="1" si="1"/>
        <v>372.29849999999999</v>
      </c>
      <c r="N8">
        <f t="shared" ca="1" si="2"/>
        <v>28.381818181818183</v>
      </c>
      <c r="O8">
        <f t="shared" ca="1" si="3"/>
        <v>225.63545454545456</v>
      </c>
      <c r="P8" s="34" t="str">
        <f t="shared" ca="1" si="4"/>
        <v/>
      </c>
      <c r="S8" s="33"/>
      <c r="U8" s="34"/>
    </row>
    <row r="9" spans="1:21" x14ac:dyDescent="0.25">
      <c r="A9" t="str">
        <v>IP.1</v>
      </c>
      <c r="B9">
        <f>IFERROR(VLOOKUP(A9,PGI!$D$2:$E$255,2,FALSE),"")</f>
        <v>0</v>
      </c>
      <c r="C9" t="str">
        <f>IFERROR(VLOOKUP(A9,PGI!$D$2:$F$255,3,FALSE),"")</f>
        <v/>
      </c>
      <c r="D9" s="1">
        <f ca="1"/>
        <v>8</v>
      </c>
      <c r="E9" s="1">
        <f ca="1"/>
        <v>0</v>
      </c>
      <c r="F9">
        <v>0</v>
      </c>
      <c r="G9">
        <f>IFERROR(IF(VLOOKUP(A9,PGI!$B$2:$B$255,1,FALSE)&lt;&gt;0,1,0),"")</f>
        <v>1</v>
      </c>
      <c r="H9" s="33"/>
      <c r="I9" s="33"/>
      <c r="J9" t="s">
        <v>73</v>
      </c>
      <c r="K9">
        <v>5</v>
      </c>
      <c r="L9" t="str">
        <f t="shared" si="0"/>
        <v/>
      </c>
      <c r="M9" t="str">
        <f t="shared" si="1"/>
        <v/>
      </c>
      <c r="N9" t="str">
        <f t="shared" ca="1" si="2"/>
        <v/>
      </c>
      <c r="O9" t="str">
        <f t="shared" ca="1" si="3"/>
        <v/>
      </c>
      <c r="P9" s="34" t="str">
        <f t="shared" si="4"/>
        <v/>
      </c>
      <c r="S9" s="33"/>
      <c r="U9" s="34"/>
    </row>
    <row r="10" spans="1:21" x14ac:dyDescent="0.25">
      <c r="A10" t="str">
        <v>Potassium carbonate</v>
      </c>
      <c r="B10" t="str">
        <f>IFERROR(VLOOKUP(A10,PGI!$D$2:$E$255,2,FALSE),"")</f>
        <v>584-08-7</v>
      </c>
      <c r="C10">
        <f>IFERROR(VLOOKUP(A10,PGI!$D$2:$F$255,3,FALSE),"")</f>
        <v>0</v>
      </c>
      <c r="D10">
        <f ca="1"/>
        <v>51.84</v>
      </c>
      <c r="E10">
        <f ca="1"/>
        <v>0</v>
      </c>
      <c r="F10">
        <v>1</v>
      </c>
      <c r="G10" t="str">
        <f>IFERROR(IF(VLOOKUP(A10,PGI!$B$2:$B$255,1,FALSE)&lt;&gt;0,1,0),"")</f>
        <v/>
      </c>
      <c r="H10" s="33"/>
      <c r="I10" s="33"/>
      <c r="J10" t="s">
        <v>73</v>
      </c>
      <c r="K10">
        <v>12.14</v>
      </c>
      <c r="L10">
        <f t="shared" ca="1" si="0"/>
        <v>51.84</v>
      </c>
      <c r="M10">
        <f t="shared" ca="1" si="1"/>
        <v>629.33760000000007</v>
      </c>
      <c r="N10">
        <f t="shared" ca="1" si="2"/>
        <v>31.418181818181822</v>
      </c>
      <c r="O10">
        <f t="shared" ca="1" si="3"/>
        <v>381.41672727272731</v>
      </c>
      <c r="P10" s="34" t="str">
        <f t="shared" ca="1" si="4"/>
        <v/>
      </c>
      <c r="S10" s="33"/>
      <c r="U10" s="34"/>
    </row>
    <row r="11" spans="1:21" x14ac:dyDescent="0.25">
      <c r="A11" t="str">
        <v>Iodoethane</v>
      </c>
      <c r="B11" t="str">
        <f>IFERROR(VLOOKUP(A11,PGI!$D$2:$E$255,2,FALSE),"")</f>
        <v>75-03-2</v>
      </c>
      <c r="C11" t="str">
        <f>IFERROR(VLOOKUP(A11,PGI!$D$2:$F$255,3,FALSE),"")</f>
        <v/>
      </c>
      <c r="D11">
        <f ca="1"/>
        <v>19.52</v>
      </c>
      <c r="E11">
        <f ca="1"/>
        <v>0</v>
      </c>
      <c r="F11">
        <v>1</v>
      </c>
      <c r="G11">
        <v>0</v>
      </c>
      <c r="H11" s="33"/>
      <c r="I11" s="33"/>
      <c r="J11" t="s">
        <v>73</v>
      </c>
      <c r="K11">
        <v>202</v>
      </c>
      <c r="L11">
        <f t="shared" ca="1" si="0"/>
        <v>19.52</v>
      </c>
      <c r="M11">
        <f t="shared" ca="1" si="1"/>
        <v>3943.04</v>
      </c>
      <c r="N11">
        <f t="shared" ca="1" si="2"/>
        <v>11.83030303030303</v>
      </c>
      <c r="O11">
        <f t="shared" ca="1" si="3"/>
        <v>2389.7212121212124</v>
      </c>
      <c r="P11" s="34" t="str">
        <f t="shared" ca="1" si="4"/>
        <v/>
      </c>
      <c r="S11" s="33"/>
      <c r="U11" s="34"/>
    </row>
    <row r="12" spans="1:21" x14ac:dyDescent="0.25">
      <c r="A12" t="str">
        <v>Acetone</v>
      </c>
      <c r="B12" t="str">
        <f>IFERROR(VLOOKUP(A12,PGI!$D$2:$E$255,2,FALSE),"")</f>
        <v>67-64-1</v>
      </c>
      <c r="C12">
        <f>IFERROR(VLOOKUP(A12,PGI!$D$2:$F$255,3,FALSE),"")</f>
        <v>0</v>
      </c>
      <c r="D12">
        <f ca="1"/>
        <v>158.62</v>
      </c>
      <c r="E12">
        <f ca="1"/>
        <v>6.6</v>
      </c>
      <c r="F12">
        <v>1</v>
      </c>
      <c r="G12" t="str">
        <f>IFERROR(IF(VLOOKUP(A12,PGI!$B$2:$B$255,1,FALSE)&lt;&gt;0,1,0),"")</f>
        <v/>
      </c>
      <c r="H12" s="33"/>
      <c r="I12" s="33"/>
      <c r="J12" t="s">
        <v>239</v>
      </c>
      <c r="K12">
        <v>3.84</v>
      </c>
      <c r="L12">
        <f t="shared" ca="1" si="0"/>
        <v>6.6</v>
      </c>
      <c r="M12">
        <f t="shared" ca="1" si="1"/>
        <v>25.343999999999998</v>
      </c>
      <c r="N12">
        <f t="shared" ca="1" si="2"/>
        <v>4</v>
      </c>
      <c r="O12">
        <f t="shared" ca="1" si="3"/>
        <v>15.36</v>
      </c>
      <c r="P12" s="34" t="str">
        <f t="shared" ca="1" si="4"/>
        <v/>
      </c>
      <c r="S12" s="33"/>
      <c r="U12" s="34"/>
    </row>
    <row r="13" spans="1:21" x14ac:dyDescent="0.25">
      <c r="A13" t="str">
        <v>Anhydrous EtOH</v>
      </c>
      <c r="B13" t="str">
        <f>IFERROR(VLOOKUP(A13,PGI!$D$2:$E$255,2,FALSE),"")</f>
        <v>64-17-5</v>
      </c>
      <c r="C13">
        <f>IFERROR(VLOOKUP(A13,PGI!$D$2:$F$255,3,FALSE),"")</f>
        <v>0</v>
      </c>
      <c r="D13">
        <f ca="1"/>
        <v>86.75</v>
      </c>
      <c r="E13">
        <f ca="1"/>
        <v>109.95</v>
      </c>
      <c r="F13">
        <v>0</v>
      </c>
      <c r="G13" t="str">
        <f>IFERROR(IF(VLOOKUP(A13,PGI!$B$2:$B$255,1,FALSE)&lt;&gt;0,1,0),"")</f>
        <v/>
      </c>
      <c r="H13" s="33"/>
      <c r="I13" s="33"/>
      <c r="J13" t="s">
        <v>73</v>
      </c>
      <c r="K13">
        <v>8</v>
      </c>
      <c r="L13" t="str">
        <f t="shared" si="0"/>
        <v/>
      </c>
      <c r="M13" t="str">
        <f t="shared" si="1"/>
        <v/>
      </c>
      <c r="N13" t="str">
        <f t="shared" ca="1" si="2"/>
        <v/>
      </c>
      <c r="O13" t="str">
        <f t="shared" ca="1" si="3"/>
        <v/>
      </c>
      <c r="P13" s="34" t="str">
        <f t="shared" si="4"/>
        <v/>
      </c>
      <c r="S13" s="33"/>
      <c r="U13" s="34"/>
    </row>
    <row r="14" spans="1:21" x14ac:dyDescent="0.25">
      <c r="A14" t="str">
        <v>IP.2</v>
      </c>
      <c r="B14">
        <f>IFERROR(VLOOKUP(A14,PGI!$D$2:$E$255,2,FALSE),"")</f>
        <v>0</v>
      </c>
      <c r="C14" t="str">
        <f>IFERROR(VLOOKUP(A14,PGI!$D$2:$F$255,3,FALSE),"")</f>
        <v/>
      </c>
      <c r="D14">
        <f ca="1"/>
        <v>4.3499999999999996</v>
      </c>
      <c r="E14">
        <f ca="1"/>
        <v>6.69</v>
      </c>
      <c r="F14">
        <v>1</v>
      </c>
      <c r="G14">
        <f>IFERROR(IF(VLOOKUP(A14,PGI!$B$2:$B$255,1,FALSE)&lt;&gt;0,1,0),"")</f>
        <v>1</v>
      </c>
      <c r="H14" s="33"/>
      <c r="I14" s="33"/>
      <c r="J14" t="s">
        <v>239</v>
      </c>
      <c r="K14">
        <v>2.2000000000000002</v>
      </c>
      <c r="L14">
        <f t="shared" ca="1" si="0"/>
        <v>6.69</v>
      </c>
      <c r="M14">
        <f t="shared" ca="1" si="1"/>
        <v>14.718000000000002</v>
      </c>
      <c r="N14">
        <f t="shared" ca="1" si="2"/>
        <v>4.0545454545454547</v>
      </c>
      <c r="O14">
        <f t="shared" ca="1" si="3"/>
        <v>8.9200000000000017</v>
      </c>
      <c r="P14" s="34" t="str">
        <f t="shared" ca="1" si="4"/>
        <v/>
      </c>
      <c r="S14" s="33"/>
      <c r="U14" s="34"/>
    </row>
    <row r="15" spans="1:21" x14ac:dyDescent="0.25">
      <c r="A15" t="str">
        <v>Methanol</v>
      </c>
      <c r="B15" t="str">
        <f>IFERROR(VLOOKUP(A15,PGI!$D$2:$E$255,2,FALSE),"")</f>
        <v>67-56-1</v>
      </c>
      <c r="C15">
        <f>IFERROR(VLOOKUP(A15,PGI!$D$2:$F$255,3,FALSE),"")</f>
        <v>0</v>
      </c>
      <c r="D15">
        <f ca="1"/>
        <v>6.92</v>
      </c>
      <c r="E15">
        <f ca="1"/>
        <v>8.74</v>
      </c>
      <c r="F15">
        <v>0</v>
      </c>
      <c r="G15">
        <v>0</v>
      </c>
      <c r="H15" s="33"/>
      <c r="I15" s="33"/>
      <c r="L15" t="str">
        <f t="shared" si="0"/>
        <v/>
      </c>
      <c r="M15" t="str">
        <f t="shared" si="1"/>
        <v/>
      </c>
      <c r="N15" t="str">
        <f t="shared" ref="N15:N65" si="5">IFERROR(L15/$S$1,"")</f>
        <v/>
      </c>
      <c r="O15" t="str">
        <f t="shared" ref="O15:O66" si="6">IFERROR(M15/$S$1,"")</f>
        <v/>
      </c>
      <c r="P15" s="34" t="str">
        <f t="shared" si="4"/>
        <v/>
      </c>
      <c r="S15" s="33"/>
      <c r="U15" s="34"/>
    </row>
    <row r="16" spans="1:21" x14ac:dyDescent="0.25">
      <c r="A16" t="str">
        <v>Sodium hydroxide</v>
      </c>
      <c r="B16" t="str">
        <f>IFERROR(VLOOKUP(A16,PGI!$D$2:$E$255,2,FALSE),"")</f>
        <v>1310-73-2</v>
      </c>
      <c r="C16">
        <f>IFERROR(VLOOKUP(A16,PGI!$D$2:$F$255,3,FALSE),"")</f>
        <v>0</v>
      </c>
      <c r="D16">
        <f ca="1"/>
        <v>7.61</v>
      </c>
      <c r="E16">
        <f ca="1"/>
        <v>0</v>
      </c>
      <c r="F16">
        <v>1</v>
      </c>
      <c r="G16" t="str">
        <f>IFERROR(IF(VLOOKUP(A16,PGI!$B$2:$B$255,1,FALSE)&lt;&gt;0,1,0),"")</f>
        <v/>
      </c>
      <c r="H16" s="33"/>
      <c r="I16" s="33"/>
      <c r="J16" t="s">
        <v>73</v>
      </c>
      <c r="K16">
        <v>192</v>
      </c>
      <c r="L16">
        <f t="shared" ca="1" si="0"/>
        <v>7.61</v>
      </c>
      <c r="M16">
        <f t="shared" ca="1" si="1"/>
        <v>1461.1200000000001</v>
      </c>
      <c r="N16" t="str">
        <f t="shared" ca="1" si="5"/>
        <v/>
      </c>
      <c r="O16" t="str">
        <f t="shared" ca="1" si="6"/>
        <v/>
      </c>
      <c r="P16" s="34" t="str">
        <f t="shared" ca="1" si="4"/>
        <v/>
      </c>
      <c r="S16" s="33"/>
      <c r="U16" s="34"/>
    </row>
    <row r="17" spans="1:21" x14ac:dyDescent="0.25">
      <c r="A17" t="str">
        <v>IP.3</v>
      </c>
      <c r="B17">
        <f>IFERROR(VLOOKUP(A17,PGI!$D$2:$E$255,2,FALSE),"")</f>
        <v>0</v>
      </c>
      <c r="C17" t="str">
        <f>IFERROR(VLOOKUP(A17,PGI!$D$2:$F$255,3,FALSE),"")</f>
        <v/>
      </c>
      <c r="D17">
        <f ca="1"/>
        <v>2.3199999999999998</v>
      </c>
      <c r="E17">
        <f ca="1"/>
        <v>0</v>
      </c>
      <c r="F17">
        <v>0</v>
      </c>
      <c r="G17">
        <f>IFERROR(IF(VLOOKUP(A17,PGI!$B$2:$B$255,1,FALSE)&lt;&gt;0,1,0),"")</f>
        <v>1</v>
      </c>
      <c r="H17" s="33"/>
      <c r="I17" s="33"/>
      <c r="L17" t="str">
        <f t="shared" si="0"/>
        <v/>
      </c>
      <c r="M17" t="str">
        <f t="shared" si="1"/>
        <v/>
      </c>
      <c r="N17" t="str">
        <f t="shared" si="5"/>
        <v/>
      </c>
      <c r="O17" t="str">
        <f t="shared" si="6"/>
        <v/>
      </c>
      <c r="P17" s="34" t="str">
        <f t="shared" si="4"/>
        <v/>
      </c>
      <c r="S17" s="33"/>
      <c r="U17" s="34"/>
    </row>
    <row r="18" spans="1:21" x14ac:dyDescent="0.25">
      <c r="A18" t="str">
        <v>Sodium borohydride</v>
      </c>
      <c r="B18">
        <f>IFERROR(VLOOKUP(A18,PGI!$D$2:$E$255,2,FALSE),"")</f>
        <v>0</v>
      </c>
      <c r="C18" t="str">
        <f>IFERROR(VLOOKUP(A18,PGI!$D$2:$F$255,3,FALSE),"")</f>
        <v/>
      </c>
      <c r="D18">
        <f ca="1"/>
        <v>1.81</v>
      </c>
      <c r="E18">
        <f ca="1"/>
        <v>0</v>
      </c>
      <c r="F18">
        <v>1</v>
      </c>
      <c r="G18" t="str">
        <f>IFERROR(IF(VLOOKUP(A18,PGI!$B$2:$B$255,1,FALSE)&lt;&gt;0,1,0),"")</f>
        <v/>
      </c>
      <c r="H18" s="33"/>
      <c r="I18" s="33"/>
      <c r="J18" t="s">
        <v>239</v>
      </c>
      <c r="K18">
        <v>35</v>
      </c>
      <c r="L18">
        <f t="shared" ca="1" si="0"/>
        <v>0</v>
      </c>
      <c r="M18">
        <f t="shared" ca="1" si="1"/>
        <v>0</v>
      </c>
      <c r="N18" t="str">
        <f t="shared" ca="1" si="5"/>
        <v/>
      </c>
      <c r="O18" t="str">
        <f t="shared" ca="1" si="6"/>
        <v/>
      </c>
      <c r="P18" s="34" t="str">
        <f t="shared" ca="1" si="4"/>
        <v/>
      </c>
      <c r="S18" s="33"/>
      <c r="U18" s="34"/>
    </row>
    <row r="19" spans="1:21" x14ac:dyDescent="0.25">
      <c r="A19" t="str">
        <v>Argon</v>
      </c>
      <c r="B19">
        <f>IFERROR(VLOOKUP(A19,PGI!$D$2:$E$255,2,FALSE),"")</f>
        <v>0</v>
      </c>
      <c r="C19">
        <f>IFERROR(VLOOKUP(A19,PGI!$D$2:$F$255,3,FALSE),"")</f>
        <v>0</v>
      </c>
      <c r="D19">
        <f ca="1"/>
        <v>50</v>
      </c>
      <c r="E19">
        <f ca="1"/>
        <v>0</v>
      </c>
      <c r="F19">
        <v>1</v>
      </c>
      <c r="G19" t="str">
        <f>IFERROR(IF(VLOOKUP(A19,PGI!$B$2:$B$255,1,FALSE)&lt;&gt;0,1,0),"")</f>
        <v/>
      </c>
      <c r="H19" s="33"/>
      <c r="I19" s="33"/>
      <c r="J19" t="s">
        <v>239</v>
      </c>
      <c r="K19">
        <v>62.5</v>
      </c>
      <c r="L19">
        <f t="shared" ca="1" si="0"/>
        <v>0</v>
      </c>
      <c r="M19">
        <f t="shared" ca="1" si="1"/>
        <v>0</v>
      </c>
      <c r="N19" t="str">
        <f t="shared" ca="1" si="5"/>
        <v/>
      </c>
      <c r="O19" t="str">
        <f t="shared" ca="1" si="6"/>
        <v/>
      </c>
      <c r="P19" s="34" t="str">
        <f t="shared" ca="1" si="4"/>
        <v/>
      </c>
      <c r="S19" s="33"/>
      <c r="U19" s="34"/>
    </row>
    <row r="20" spans="1:21" x14ac:dyDescent="0.25">
      <c r="A20" t="str">
        <v>Sodium chloride</v>
      </c>
      <c r="B20" t="str">
        <f>IFERROR(VLOOKUP(A20,PGI!$D$2:$E$255,2,FALSE),"")</f>
        <v>7647-14-5</v>
      </c>
      <c r="C20">
        <f>IFERROR(VLOOKUP(A20,PGI!$D$2:$F$255,3,FALSE),"")</f>
        <v>0</v>
      </c>
      <c r="D20">
        <f ca="1"/>
        <v>9.27</v>
      </c>
      <c r="E20">
        <f ca="1"/>
        <v>0</v>
      </c>
      <c r="F20">
        <v>0</v>
      </c>
      <c r="G20">
        <v>1</v>
      </c>
      <c r="H20" s="33"/>
      <c r="I20" s="33"/>
      <c r="L20" t="str">
        <f t="shared" si="0"/>
        <v/>
      </c>
      <c r="M20" t="str">
        <f t="shared" si="1"/>
        <v/>
      </c>
      <c r="N20" t="str">
        <f t="shared" si="5"/>
        <v/>
      </c>
      <c r="O20" t="str">
        <f t="shared" si="6"/>
        <v/>
      </c>
      <c r="P20" s="34" t="str">
        <f t="shared" si="4"/>
        <v/>
      </c>
      <c r="S20" s="33"/>
      <c r="U20" s="34"/>
    </row>
    <row r="21" spans="1:21" x14ac:dyDescent="0.25">
      <c r="A21" t="str">
        <v>HCl in IPrOH</v>
      </c>
      <c r="B21">
        <f>IFERROR(VLOOKUP(A21,PGI!$D$2:$E$255,2,FALSE),"")</f>
        <v>0</v>
      </c>
      <c r="C21">
        <f>IFERROR(VLOOKUP(A21,PGI!$D$2:$F$255,3,FALSE),"")</f>
        <v>0</v>
      </c>
      <c r="D21">
        <f ca="1"/>
        <v>1.6</v>
      </c>
      <c r="E21">
        <f ca="1"/>
        <v>1.81</v>
      </c>
      <c r="G21" t="str">
        <f>IFERROR(IF(VLOOKUP(A21,PGI!$B$2:$B$255,1,FALSE)&lt;&gt;0,1,0),"")</f>
        <v/>
      </c>
      <c r="H21" s="33"/>
      <c r="I21" s="33"/>
      <c r="L21" t="str">
        <f t="shared" si="0"/>
        <v/>
      </c>
      <c r="M21" t="str">
        <f t="shared" si="1"/>
        <v/>
      </c>
      <c r="N21" t="str">
        <f t="shared" si="5"/>
        <v/>
      </c>
      <c r="O21" t="str">
        <f t="shared" si="6"/>
        <v/>
      </c>
      <c r="P21" s="34" t="str">
        <f t="shared" si="4"/>
        <v/>
      </c>
      <c r="S21" s="33"/>
      <c r="U21" s="34"/>
    </row>
    <row r="22" spans="1:21" x14ac:dyDescent="0.25">
      <c r="A22" t="str">
        <v xml:space="preserve">Ethyl acetate </v>
      </c>
      <c r="B22" t="str">
        <f>IFERROR(VLOOKUP(A22,PGI!$D$2:$E$255,2,FALSE),"")</f>
        <v>141-78-6</v>
      </c>
      <c r="C22">
        <f>IFERROR(VLOOKUP(A22,PGI!$D$2:$F$255,3,FALSE),"")</f>
        <v>0</v>
      </c>
      <c r="D22">
        <f ca="1"/>
        <v>31.7</v>
      </c>
      <c r="E22">
        <f ca="1"/>
        <v>35.14</v>
      </c>
      <c r="G22" t="str">
        <f>IFERROR(IF(VLOOKUP(A22,PGI!$B$2:$B$255,1,FALSE)&lt;&gt;0,1,0),"")</f>
        <v/>
      </c>
      <c r="H22" s="33"/>
      <c r="I22" s="33"/>
      <c r="L22" t="str">
        <f t="shared" si="0"/>
        <v/>
      </c>
      <c r="M22" t="str">
        <f t="shared" si="1"/>
        <v/>
      </c>
      <c r="N22" t="str">
        <f t="shared" si="5"/>
        <v/>
      </c>
      <c r="O22" t="str">
        <f t="shared" si="6"/>
        <v/>
      </c>
      <c r="P22" s="34" t="str">
        <f t="shared" si="4"/>
        <v/>
      </c>
      <c r="S22" s="33"/>
      <c r="U22" s="34"/>
    </row>
    <row r="23" spans="1:21" ht="23.25" x14ac:dyDescent="0.35">
      <c r="A23" t="str">
        <v>Methanesulfonic acid</v>
      </c>
      <c r="B23" t="str">
        <f>IFERROR(VLOOKUP(A23,PGI!$D$2:$E$255,2,FALSE),"")</f>
        <v>75-75-2</v>
      </c>
      <c r="C23" s="11"/>
      <c r="D23">
        <f ca="1"/>
        <v>1.1599999999999999</v>
      </c>
      <c r="E23">
        <f ca="1"/>
        <v>0.78</v>
      </c>
      <c r="G23" t="str">
        <f>IFERROR(IF(VLOOKUP(A23,PGI!$B$2:$B$255,1,FALSE)&lt;&gt;0,1,0),"")</f>
        <v/>
      </c>
      <c r="H23" s="33"/>
      <c r="I23" s="33"/>
      <c r="L23" t="str">
        <f t="shared" si="0"/>
        <v/>
      </c>
      <c r="M23" t="str">
        <f t="shared" si="1"/>
        <v/>
      </c>
      <c r="N23" t="str">
        <f t="shared" si="5"/>
        <v/>
      </c>
      <c r="O23" t="str">
        <f t="shared" si="6"/>
        <v/>
      </c>
      <c r="P23" s="34" t="str">
        <f t="shared" si="4"/>
        <v/>
      </c>
      <c r="S23" s="33"/>
      <c r="U23" s="34"/>
    </row>
    <row r="24" spans="1:21" x14ac:dyDescent="0.25">
      <c r="A24" t="str">
        <v>IP.4</v>
      </c>
      <c r="B24">
        <f>IFERROR(VLOOKUP(A24,PGI!$D$2:$E$255,2,FALSE),"")</f>
        <v>0</v>
      </c>
      <c r="C24" t="str">
        <f>IFERROR(VLOOKUP(A24,PGI!$D$2:$F$255,3,FALSE),"")</f>
        <v/>
      </c>
      <c r="D24">
        <f ca="1"/>
        <v>1.65</v>
      </c>
      <c r="E24">
        <f ca="1"/>
        <v>0</v>
      </c>
      <c r="G24">
        <f>IFERROR(IF(VLOOKUP(A24,PGI!$B$2:$B$255,1,FALSE)&lt;&gt;0,1,0),"")</f>
        <v>1</v>
      </c>
      <c r="H24" s="33"/>
      <c r="I24" s="33"/>
      <c r="L24" t="str">
        <f t="shared" si="0"/>
        <v/>
      </c>
      <c r="M24" t="str">
        <f t="shared" si="1"/>
        <v/>
      </c>
      <c r="N24" t="str">
        <f t="shared" si="5"/>
        <v/>
      </c>
      <c r="O24" t="str">
        <f t="shared" si="6"/>
        <v/>
      </c>
      <c r="P24" s="34" t="str">
        <f t="shared" si="4"/>
        <v/>
      </c>
      <c r="S24" s="33"/>
      <c r="U24" s="34"/>
    </row>
    <row r="25" spans="1:21" x14ac:dyDescent="0.25">
      <c r="A25" t="str">
        <v>TP.5 NOT UPDATED YET</v>
      </c>
      <c r="B25">
        <f>IFERROR(VLOOKUP(A25,PGI!$D$2:$E$255,2,FALSE),"")</f>
        <v>0</v>
      </c>
      <c r="C25" t="str">
        <f>IFERROR(VLOOKUP(A25,PGI!$D$2:$F$255,3,FALSE),"")</f>
        <v/>
      </c>
      <c r="D25">
        <f ca="1"/>
        <v>0</v>
      </c>
      <c r="E25">
        <f ca="1"/>
        <v>0</v>
      </c>
      <c r="G25" t="str">
        <f>IFERROR(IF(VLOOKUP(A25,PGI!$B$2:$B$255,1,FALSE)&lt;&gt;0,1,0),"")</f>
        <v/>
      </c>
      <c r="H25" s="33"/>
      <c r="I25" s="33"/>
      <c r="L25" t="str">
        <f t="shared" si="0"/>
        <v/>
      </c>
      <c r="M25" t="str">
        <f t="shared" si="1"/>
        <v/>
      </c>
      <c r="N25" t="str">
        <f t="shared" si="5"/>
        <v/>
      </c>
      <c r="O25" t="str">
        <f t="shared" si="6"/>
        <v/>
      </c>
      <c r="P25" s="34" t="str">
        <f t="shared" si="4"/>
        <v/>
      </c>
      <c r="S25" s="33"/>
      <c r="U25" s="34"/>
    </row>
    <row r="26" spans="1:21" x14ac:dyDescent="0.25">
      <c r="A26" t="str">
        <v>MSA</v>
      </c>
      <c r="B26">
        <f>IFERROR(VLOOKUP(A26,PGI!$D$2:$E$255,2,FALSE),"")</f>
        <v>0</v>
      </c>
      <c r="C26" t="str">
        <f>IFERROR(VLOOKUP(A26,PGI!$D$2:$F$255,3,FALSE),"")</f>
        <v/>
      </c>
      <c r="D26">
        <f ca="1"/>
        <v>0.82</v>
      </c>
      <c r="E26">
        <f ca="1"/>
        <v>0.56000000000000005</v>
      </c>
      <c r="G26" t="str">
        <f>IFERROR(IF(VLOOKUP(A26,PGI!$B$2:$B$255,1,FALSE)&lt;&gt;0,1,0),"")</f>
        <v/>
      </c>
      <c r="H26" s="33"/>
      <c r="I26" s="33"/>
      <c r="L26" t="str">
        <f t="shared" si="0"/>
        <v/>
      </c>
      <c r="M26" t="str">
        <f t="shared" si="1"/>
        <v/>
      </c>
      <c r="N26" t="str">
        <f t="shared" si="5"/>
        <v/>
      </c>
      <c r="O26" t="str">
        <f t="shared" si="6"/>
        <v/>
      </c>
      <c r="P26" s="34" t="str">
        <f t="shared" si="4"/>
        <v/>
      </c>
      <c r="S26" s="33"/>
      <c r="U26" s="34"/>
    </row>
    <row r="27" spans="1:21" x14ac:dyDescent="0.25">
      <c r="A27" t="str">
        <v>Pd/C</v>
      </c>
      <c r="B27">
        <f>IFERROR(VLOOKUP(A27,PGI!$D$2:$E$255,2,FALSE),"")</f>
        <v>0</v>
      </c>
      <c r="C27">
        <f>IFERROR(VLOOKUP(A27,PGI!$D$2:$F$255,3,FALSE),"")</f>
        <v>0</v>
      </c>
      <c r="D27">
        <f ca="1"/>
        <v>0.16</v>
      </c>
      <c r="E27">
        <f ca="1"/>
        <v>0</v>
      </c>
      <c r="G27" t="str">
        <f>IFERROR(IF(VLOOKUP(A27,PGI!$B$2:$B$255,1,FALSE)&lt;&gt;0,1,0),"")</f>
        <v/>
      </c>
      <c r="H27" s="33"/>
      <c r="I27" s="33"/>
      <c r="L27" t="str">
        <f t="shared" si="0"/>
        <v/>
      </c>
      <c r="M27" t="str">
        <f t="shared" si="1"/>
        <v/>
      </c>
      <c r="N27" t="str">
        <f t="shared" si="5"/>
        <v/>
      </c>
      <c r="O27" t="str">
        <f t="shared" si="6"/>
        <v/>
      </c>
      <c r="P27" s="34" t="str">
        <f t="shared" si="4"/>
        <v/>
      </c>
      <c r="S27" s="33"/>
      <c r="U27" s="34"/>
    </row>
    <row r="28" spans="1:21" x14ac:dyDescent="0.25">
      <c r="A28" t="str">
        <v>NaOH solution</v>
      </c>
      <c r="B28">
        <f>IFERROR(VLOOKUP(A28,PGI!$D$2:$E$255,2,FALSE),"")</f>
        <v>0</v>
      </c>
      <c r="C28">
        <f>IFERROR(VLOOKUP(A28,PGI!$D$2:$F$255,3,FALSE),"")</f>
        <v>0</v>
      </c>
      <c r="D28">
        <f ca="1"/>
        <v>0</v>
      </c>
      <c r="E28">
        <f ca="1"/>
        <v>0</v>
      </c>
      <c r="G28" t="str">
        <f>IFERROR(IF(VLOOKUP(A28,PGI!$B$2:$B$255,1,FALSE)&lt;&gt;0,1,0),"")</f>
        <v/>
      </c>
      <c r="H28" s="33"/>
      <c r="I28" s="33"/>
      <c r="L28" t="str">
        <f t="shared" si="0"/>
        <v/>
      </c>
      <c r="M28" t="str">
        <f t="shared" si="1"/>
        <v/>
      </c>
      <c r="N28" t="str">
        <f t="shared" si="5"/>
        <v/>
      </c>
      <c r="O28" t="str">
        <f t="shared" si="6"/>
        <v/>
      </c>
      <c r="P28" s="34" t="str">
        <f t="shared" si="4"/>
        <v/>
      </c>
      <c r="S28" s="33"/>
      <c r="U28" s="34"/>
    </row>
    <row r="29" spans="1:21" x14ac:dyDescent="0.25">
      <c r="A29" t="str">
        <v>Isopropanol</v>
      </c>
      <c r="B29">
        <f>IFERROR(VLOOKUP(A29,PGI!$D$2:$E$255,2,FALSE),"")</f>
        <v>0</v>
      </c>
      <c r="C29">
        <f>IFERROR(VLOOKUP(A29,PGI!$D$2:$F$255,3,FALSE),"")</f>
        <v>0</v>
      </c>
      <c r="D29">
        <f ca="1"/>
        <v>0</v>
      </c>
      <c r="E29">
        <f ca="1"/>
        <v>9.89</v>
      </c>
      <c r="G29" t="str">
        <f>IFERROR(IF(VLOOKUP(A29,PGI!$B$2:$B$255,1,FALSE)&lt;&gt;0,1,0),"")</f>
        <v/>
      </c>
      <c r="H29" s="33"/>
      <c r="I29" s="33"/>
      <c r="L29" t="str">
        <f t="shared" si="0"/>
        <v/>
      </c>
      <c r="M29" t="str">
        <f t="shared" si="1"/>
        <v/>
      </c>
      <c r="N29" t="str">
        <f t="shared" si="5"/>
        <v/>
      </c>
      <c r="O29" t="str">
        <f t="shared" si="6"/>
        <v/>
      </c>
      <c r="P29" s="34" t="str">
        <f t="shared" si="4"/>
        <v/>
      </c>
      <c r="S29" s="33"/>
      <c r="U29" s="34"/>
    </row>
    <row r="30" spans="1:21" x14ac:dyDescent="0.25">
      <c r="A30" t="str">
        <v>ATIPAMEZOLE</v>
      </c>
      <c r="B30">
        <f>IFERROR(VLOOKUP(A30,PGI!$D$2:$E$255,2,FALSE),"")</f>
        <v>0</v>
      </c>
      <c r="C30" t="str">
        <f>IFERROR(VLOOKUP(A30,PGI!$D$2:$F$255,3,FALSE),"")</f>
        <v/>
      </c>
      <c r="D30">
        <f ca="1"/>
        <v>0.84</v>
      </c>
      <c r="E30">
        <f ca="1"/>
        <v>0</v>
      </c>
      <c r="G30" t="str">
        <f>IFERROR(IF(VLOOKUP(A30,PGI!$B$2:$B$255,1,FALSE)&lt;&gt;0,1,0),"")</f>
        <v/>
      </c>
      <c r="H30" s="33"/>
      <c r="I30" s="33"/>
      <c r="L30" t="str">
        <f t="shared" si="0"/>
        <v/>
      </c>
      <c r="M30" t="str">
        <f t="shared" si="1"/>
        <v/>
      </c>
      <c r="N30" t="str">
        <f t="shared" si="5"/>
        <v/>
      </c>
      <c r="O30" t="str">
        <f t="shared" si="6"/>
        <v/>
      </c>
      <c r="P30" s="34" t="str">
        <f t="shared" si="4"/>
        <v/>
      </c>
      <c r="S30" s="33"/>
    </row>
    <row r="31" spans="1:21" x14ac:dyDescent="0.25">
      <c r="B31" t="str">
        <f>IFERROR(VLOOKUP(A31,PGI!$D$2:$E$255,2,FALSE),"")</f>
        <v/>
      </c>
      <c r="C31" t="str">
        <f>IFERROR(VLOOKUP(A31,PGI!$D$2:$F$255,3,FALSE),"")</f>
        <v/>
      </c>
      <c r="D31" t="str">
        <f ca="1"/>
        <v/>
      </c>
      <c r="E31" t="str">
        <f ca="1"/>
        <v/>
      </c>
      <c r="G31" t="str">
        <f>IFERROR(IF(VLOOKUP(A31,PGI!$B$2:$B$255,1,FALSE)&lt;&gt;0,1,0),"")</f>
        <v/>
      </c>
      <c r="H31" s="33"/>
      <c r="I31" s="33"/>
      <c r="L31" t="str">
        <f t="shared" si="0"/>
        <v/>
      </c>
      <c r="M31" t="str">
        <f t="shared" si="1"/>
        <v/>
      </c>
      <c r="N31" t="str">
        <f t="shared" si="5"/>
        <v/>
      </c>
      <c r="O31" t="str">
        <f t="shared" si="6"/>
        <v/>
      </c>
      <c r="P31" s="34" t="str">
        <f t="shared" si="4"/>
        <v/>
      </c>
      <c r="S31" s="33"/>
    </row>
    <row r="32" spans="1:21" x14ac:dyDescent="0.25">
      <c r="B32" t="str">
        <f>IFERROR(VLOOKUP(A32,PGI!$D$2:$E$255,2,FALSE),"")</f>
        <v/>
      </c>
      <c r="C32" t="str">
        <f>IFERROR(VLOOKUP(A32,PGI!$D$2:$F$255,3,FALSE),"")</f>
        <v/>
      </c>
      <c r="D32" t="str">
        <f ca="1"/>
        <v/>
      </c>
      <c r="E32" t="str">
        <f ca="1"/>
        <v/>
      </c>
      <c r="G32" t="str">
        <f>IFERROR(IF(VLOOKUP(A32,PGI!$B$2:$B$255,1,FALSE)&lt;&gt;0,1,0),"")</f>
        <v/>
      </c>
      <c r="H32" s="33"/>
      <c r="I32" s="33"/>
      <c r="L32" t="str">
        <f t="shared" si="0"/>
        <v/>
      </c>
      <c r="M32" t="str">
        <f t="shared" si="1"/>
        <v/>
      </c>
      <c r="N32" t="str">
        <f t="shared" si="5"/>
        <v/>
      </c>
      <c r="O32" t="str">
        <f t="shared" si="6"/>
        <v/>
      </c>
      <c r="P32" s="34" t="str">
        <f t="shared" si="4"/>
        <v/>
      </c>
    </row>
    <row r="33" spans="2:16" x14ac:dyDescent="0.25">
      <c r="B33" t="str">
        <f>IFERROR(VLOOKUP(A33,PGI!$D$2:$E$255,2,FALSE),"")</f>
        <v/>
      </c>
      <c r="C33" t="str">
        <f>IFERROR(VLOOKUP(A33,PGI!$D$2:$F$255,3,FALSE),"")</f>
        <v/>
      </c>
      <c r="D33" t="str">
        <f ca="1"/>
        <v/>
      </c>
      <c r="E33" t="str">
        <f ca="1"/>
        <v/>
      </c>
      <c r="G33" t="str">
        <f>IFERROR(IF(VLOOKUP(A33,PGI!$B$2:$B$255,1,FALSE)&lt;&gt;0,1,0),"")</f>
        <v/>
      </c>
      <c r="H33" s="33"/>
      <c r="I33" s="33"/>
      <c r="L33" t="str">
        <f t="shared" si="0"/>
        <v/>
      </c>
      <c r="M33" t="str">
        <f t="shared" si="1"/>
        <v/>
      </c>
      <c r="N33" t="str">
        <f t="shared" si="5"/>
        <v/>
      </c>
      <c r="O33" t="str">
        <f t="shared" si="6"/>
        <v/>
      </c>
      <c r="P33" s="34" t="str">
        <f t="shared" si="4"/>
        <v/>
      </c>
    </row>
    <row r="34" spans="2:16" x14ac:dyDescent="0.25">
      <c r="B34" t="str">
        <f>IFERROR(VLOOKUP(A34,PGI!$D$2:$E$255,2,FALSE),"")</f>
        <v/>
      </c>
      <c r="C34" t="str">
        <f>IFERROR(VLOOKUP(A34,PGI!$D$2:$F$255,3,FALSE),"")</f>
        <v/>
      </c>
      <c r="D34" t="str">
        <f ca="1"/>
        <v/>
      </c>
      <c r="E34" t="str">
        <f ca="1"/>
        <v/>
      </c>
      <c r="G34" t="str">
        <f>IFERROR(IF(VLOOKUP(A34,PGI!$B$2:$B$255,1,FALSE)&lt;&gt;0,1,0),"")</f>
        <v/>
      </c>
      <c r="H34" s="33"/>
      <c r="I34" s="33"/>
      <c r="L34" t="str">
        <f t="shared" ref="L34:L65" si="7">IF(F34=1,IF(J34="kg",D34*IF(I34="",1,I34),IF(J34="L",E34*IF(I34="",1,I34),"Specify unit (L or kg)")),"")</f>
        <v/>
      </c>
      <c r="M34" t="str">
        <f t="shared" ref="M34:M65" si="8">IF(F34=1,IF(K34="","Enter price per unit",L34*K34),"")</f>
        <v/>
      </c>
      <c r="N34" t="str">
        <f t="shared" si="5"/>
        <v/>
      </c>
      <c r="O34" t="str">
        <f t="shared" si="6"/>
        <v/>
      </c>
      <c r="P34" s="34" t="str">
        <f t="shared" si="4"/>
        <v/>
      </c>
    </row>
    <row r="35" spans="2:16" x14ac:dyDescent="0.25">
      <c r="B35" t="str">
        <f>IFERROR(VLOOKUP(A35,PGI!$D$2:$E$255,2,FALSE),"")</f>
        <v/>
      </c>
      <c r="C35" t="str">
        <f>IFERROR(VLOOKUP(A35,PGI!$D$2:$F$255,3,FALSE),"")</f>
        <v/>
      </c>
      <c r="D35" t="str">
        <f ca="1"/>
        <v/>
      </c>
      <c r="E35" t="str">
        <f ca="1"/>
        <v/>
      </c>
      <c r="G35" t="str">
        <f>IFERROR(IF(VLOOKUP(A35,PGI!$B$2:$B$255,1,FALSE)&lt;&gt;0,1,0),"")</f>
        <v/>
      </c>
      <c r="H35" s="33"/>
      <c r="I35" s="33"/>
      <c r="L35" t="str">
        <f t="shared" si="7"/>
        <v/>
      </c>
      <c r="M35" t="str">
        <f t="shared" si="8"/>
        <v/>
      </c>
      <c r="N35" t="str">
        <f t="shared" si="5"/>
        <v/>
      </c>
      <c r="O35" t="str">
        <f t="shared" si="6"/>
        <v/>
      </c>
      <c r="P35" s="34" t="str">
        <f t="shared" si="4"/>
        <v/>
      </c>
    </row>
    <row r="36" spans="2:16" x14ac:dyDescent="0.25">
      <c r="B36" t="str">
        <f>IFERROR(VLOOKUP(A36,PGI!$D$2:$E$255,2,FALSE),"")</f>
        <v/>
      </c>
      <c r="C36" t="str">
        <f>IFERROR(VLOOKUP(A36,PGI!$D$2:$F$255,3,FALSE),"")</f>
        <v/>
      </c>
      <c r="D36" t="str">
        <f ca="1"/>
        <v/>
      </c>
      <c r="E36" t="str">
        <f ca="1"/>
        <v/>
      </c>
      <c r="G36" t="str">
        <f>IFERROR(IF(VLOOKUP(A36,PGI!$B$2:$B$255,1,FALSE)&lt;&gt;0,1,0),"")</f>
        <v/>
      </c>
      <c r="H36" s="33"/>
      <c r="I36" s="33"/>
      <c r="L36" t="str">
        <f t="shared" si="7"/>
        <v/>
      </c>
      <c r="M36" t="str">
        <f t="shared" si="8"/>
        <v/>
      </c>
      <c r="N36" t="str">
        <f t="shared" si="5"/>
        <v/>
      </c>
      <c r="O36" t="str">
        <f t="shared" si="6"/>
        <v/>
      </c>
      <c r="P36" s="34" t="str">
        <f t="shared" si="4"/>
        <v/>
      </c>
    </row>
    <row r="37" spans="2:16" x14ac:dyDescent="0.25">
      <c r="B37" t="str">
        <f>IFERROR(VLOOKUP(A37,PGI!$D$2:$E$255,2,FALSE),"")</f>
        <v/>
      </c>
      <c r="C37" t="str">
        <f>IFERROR(VLOOKUP(A37,PGI!$D$2:$F$255,3,FALSE),"")</f>
        <v/>
      </c>
      <c r="D37" t="str">
        <f ca="1"/>
        <v/>
      </c>
      <c r="E37" t="str">
        <f ca="1"/>
        <v/>
      </c>
      <c r="G37" t="str">
        <f>IFERROR(IF(VLOOKUP(A37,PGI!$B$2:$B$255,1,FALSE)&lt;&gt;0,1,0),"")</f>
        <v/>
      </c>
      <c r="H37" s="33"/>
      <c r="I37" s="33"/>
      <c r="L37" t="str">
        <f t="shared" si="7"/>
        <v/>
      </c>
      <c r="M37" t="str">
        <f t="shared" si="8"/>
        <v/>
      </c>
      <c r="N37" t="str">
        <f t="shared" si="5"/>
        <v/>
      </c>
      <c r="O37" t="str">
        <f t="shared" si="6"/>
        <v/>
      </c>
      <c r="P37" s="34" t="str">
        <f t="shared" si="4"/>
        <v/>
      </c>
    </row>
    <row r="38" spans="2:16" x14ac:dyDescent="0.25">
      <c r="B38" t="str">
        <f>IFERROR(VLOOKUP(A38,PGI!$D$2:$E$255,2,FALSE),"")</f>
        <v/>
      </c>
      <c r="C38" t="str">
        <f>IFERROR(VLOOKUP(A38,PGI!$D$2:$F$255,3,FALSE),"")</f>
        <v/>
      </c>
      <c r="D38" t="str">
        <f ca="1"/>
        <v/>
      </c>
      <c r="E38" t="str">
        <f ca="1"/>
        <v/>
      </c>
      <c r="G38" t="str">
        <f>IFERROR(IF(VLOOKUP(A38,PGI!$B$2:$B$255,1,FALSE)&lt;&gt;0,1,0),"")</f>
        <v/>
      </c>
      <c r="H38" s="33"/>
      <c r="I38" s="33"/>
      <c r="L38" t="str">
        <f t="shared" si="7"/>
        <v/>
      </c>
      <c r="M38" t="str">
        <f t="shared" si="8"/>
        <v/>
      </c>
      <c r="N38" t="str">
        <f t="shared" si="5"/>
        <v/>
      </c>
      <c r="O38" t="str">
        <f t="shared" si="6"/>
        <v/>
      </c>
      <c r="P38" s="34" t="str">
        <f t="shared" ref="P38:P69" si="9">IF(AND(L38&lt;&gt;"",J38=""),"Unit not set. If mass is non-zero then unit is kg else L","")</f>
        <v/>
      </c>
    </row>
    <row r="39" spans="2:16" x14ac:dyDescent="0.25">
      <c r="B39" t="str">
        <f>IFERROR(VLOOKUP(A39,PGI!$D$2:$E$255,2,FALSE),"")</f>
        <v/>
      </c>
      <c r="C39" t="str">
        <f>IFERROR(VLOOKUP(A39,PGI!$D$2:$F$255,3,FALSE),"")</f>
        <v/>
      </c>
      <c r="D39" t="str">
        <f ca="1"/>
        <v/>
      </c>
      <c r="E39" t="str">
        <f ca="1"/>
        <v/>
      </c>
      <c r="G39" t="str">
        <f>IFERROR(IF(VLOOKUP(A39,PGI!$B$2:$B$255,1,FALSE)&lt;&gt;0,1,0),"")</f>
        <v/>
      </c>
      <c r="H39" s="33"/>
      <c r="I39" s="33"/>
      <c r="L39" t="str">
        <f t="shared" si="7"/>
        <v/>
      </c>
      <c r="M39" t="str">
        <f t="shared" si="8"/>
        <v/>
      </c>
      <c r="N39" t="str">
        <f t="shared" si="5"/>
        <v/>
      </c>
      <c r="O39" t="str">
        <f t="shared" si="6"/>
        <v/>
      </c>
      <c r="P39" s="34" t="str">
        <f t="shared" si="9"/>
        <v/>
      </c>
    </row>
    <row r="40" spans="2:16" x14ac:dyDescent="0.25">
      <c r="B40" t="str">
        <f>IFERROR(VLOOKUP(A40,PGI!$D$2:$E$255,2,FALSE),"")</f>
        <v/>
      </c>
      <c r="C40" t="str">
        <f>IFERROR(VLOOKUP(A40,PGI!$D$2:$F$255,3,FALSE),"")</f>
        <v/>
      </c>
      <c r="D40" t="str">
        <f ca="1"/>
        <v/>
      </c>
      <c r="E40" t="str">
        <f ca="1"/>
        <v/>
      </c>
      <c r="G40" t="str">
        <f>IFERROR(IF(VLOOKUP(A40,PGI!$B$2:$B$255,1,FALSE)&lt;&gt;0,1,0),"")</f>
        <v/>
      </c>
      <c r="H40" s="33"/>
      <c r="I40" s="33"/>
      <c r="L40" t="str">
        <f t="shared" si="7"/>
        <v/>
      </c>
      <c r="M40" t="str">
        <f t="shared" si="8"/>
        <v/>
      </c>
      <c r="N40" t="str">
        <f t="shared" si="5"/>
        <v/>
      </c>
      <c r="O40" t="str">
        <f t="shared" si="6"/>
        <v/>
      </c>
      <c r="P40" s="34" t="str">
        <f t="shared" si="9"/>
        <v/>
      </c>
    </row>
    <row r="41" spans="2:16" x14ac:dyDescent="0.25">
      <c r="B41" t="str">
        <f>IFERROR(VLOOKUP(A41,PGI!$D$2:$E$255,2,FALSE),"")</f>
        <v/>
      </c>
      <c r="C41" t="str">
        <f>IFERROR(VLOOKUP(A41,PGI!$D$2:$F$255,3,FALSE),"")</f>
        <v/>
      </c>
      <c r="D41" t="str">
        <f ca="1"/>
        <v/>
      </c>
      <c r="E41" t="str">
        <f ca="1"/>
        <v/>
      </c>
      <c r="G41" t="str">
        <f>IFERROR(IF(VLOOKUP(A41,PGI!$B$2:$B$255,1,FALSE)&lt;&gt;0,1,0),"")</f>
        <v/>
      </c>
      <c r="H41" s="33"/>
      <c r="I41" s="33"/>
      <c r="L41" t="str">
        <f t="shared" si="7"/>
        <v/>
      </c>
      <c r="M41" t="str">
        <f t="shared" si="8"/>
        <v/>
      </c>
      <c r="N41" t="str">
        <f t="shared" si="5"/>
        <v/>
      </c>
      <c r="O41" t="str">
        <f t="shared" si="6"/>
        <v/>
      </c>
      <c r="P41" s="34" t="str">
        <f t="shared" si="9"/>
        <v/>
      </c>
    </row>
    <row r="42" spans="2:16" x14ac:dyDescent="0.25">
      <c r="B42" t="str">
        <f>IFERROR(VLOOKUP(A42,PGI!$D$2:$E$255,2,FALSE),"")</f>
        <v/>
      </c>
      <c r="C42" t="str">
        <f>IFERROR(VLOOKUP(A42,PGI!$D$2:$F$255,3,FALSE),"")</f>
        <v/>
      </c>
      <c r="D42" t="str">
        <f ca="1"/>
        <v/>
      </c>
      <c r="E42" t="str">
        <f ca="1"/>
        <v/>
      </c>
      <c r="G42" t="str">
        <f>IFERROR(IF(VLOOKUP(A42,PGI!$B$2:$B$255,1,FALSE)&lt;&gt;0,1,0),"")</f>
        <v/>
      </c>
      <c r="H42" s="33"/>
      <c r="I42" s="33"/>
      <c r="L42" t="str">
        <f t="shared" si="7"/>
        <v/>
      </c>
      <c r="M42" t="str">
        <f t="shared" si="8"/>
        <v/>
      </c>
      <c r="N42" t="str">
        <f t="shared" si="5"/>
        <v/>
      </c>
      <c r="O42" t="str">
        <f t="shared" si="6"/>
        <v/>
      </c>
      <c r="P42" s="34" t="str">
        <f t="shared" si="9"/>
        <v/>
      </c>
    </row>
    <row r="43" spans="2:16" x14ac:dyDescent="0.25">
      <c r="B43" t="str">
        <f>IFERROR(VLOOKUP(A43,PGI!$D$2:$E$255,2,FALSE),"")</f>
        <v/>
      </c>
      <c r="C43" t="str">
        <f>IFERROR(VLOOKUP(A43,PGI!$D$2:$F$255,3,FALSE),"")</f>
        <v/>
      </c>
      <c r="D43" t="str">
        <f ca="1"/>
        <v/>
      </c>
      <c r="E43" t="str">
        <f ca="1"/>
        <v/>
      </c>
      <c r="G43" t="str">
        <f>IFERROR(IF(VLOOKUP(A43,PGI!$B$2:$B$255,1,FALSE)&lt;&gt;0,1,0),"")</f>
        <v/>
      </c>
      <c r="H43" s="33"/>
      <c r="I43" s="33"/>
      <c r="L43" t="str">
        <f t="shared" si="7"/>
        <v/>
      </c>
      <c r="M43" t="str">
        <f t="shared" si="8"/>
        <v/>
      </c>
      <c r="N43" t="str">
        <f t="shared" si="5"/>
        <v/>
      </c>
      <c r="O43" t="str">
        <f t="shared" si="6"/>
        <v/>
      </c>
      <c r="P43" s="34" t="str">
        <f t="shared" si="9"/>
        <v/>
      </c>
    </row>
    <row r="44" spans="2:16" x14ac:dyDescent="0.25">
      <c r="B44" t="str">
        <f>IFERROR(VLOOKUP(A44,PGI!$D$2:$E$255,2,FALSE),"")</f>
        <v/>
      </c>
      <c r="C44" t="str">
        <f>IFERROR(VLOOKUP(A44,PGI!$D$2:$F$255,3,FALSE),"")</f>
        <v/>
      </c>
      <c r="D44" t="str">
        <f ca="1"/>
        <v/>
      </c>
      <c r="E44" t="str">
        <f ca="1"/>
        <v/>
      </c>
      <c r="G44" t="str">
        <f>IFERROR(IF(VLOOKUP(A44,PGI!$B$2:$B$255,1,FALSE)&lt;&gt;0,1,0),"")</f>
        <v/>
      </c>
      <c r="H44" s="33"/>
      <c r="I44" s="33"/>
      <c r="L44" t="str">
        <f t="shared" si="7"/>
        <v/>
      </c>
      <c r="M44" t="str">
        <f t="shared" si="8"/>
        <v/>
      </c>
      <c r="N44" t="str">
        <f t="shared" si="5"/>
        <v/>
      </c>
      <c r="O44" t="str">
        <f t="shared" si="6"/>
        <v/>
      </c>
      <c r="P44" s="34" t="str">
        <f t="shared" si="9"/>
        <v/>
      </c>
    </row>
    <row r="45" spans="2:16" x14ac:dyDescent="0.25">
      <c r="B45" t="str">
        <f>IFERROR(VLOOKUP(A45,PGI!$D$2:$E$255,2,FALSE),"")</f>
        <v/>
      </c>
      <c r="C45" t="str">
        <f>IFERROR(VLOOKUP(A45,PGI!$D$2:$F$255,3,FALSE),"")</f>
        <v/>
      </c>
      <c r="D45" t="str">
        <f ca="1"/>
        <v/>
      </c>
      <c r="E45" t="str">
        <f ca="1"/>
        <v/>
      </c>
      <c r="G45" t="str">
        <f>IFERROR(IF(VLOOKUP(A45,PGI!$B$2:$B$255,1,FALSE)&lt;&gt;0,1,0),"")</f>
        <v/>
      </c>
      <c r="H45" s="33"/>
      <c r="I45" s="33"/>
      <c r="L45" t="str">
        <f t="shared" si="7"/>
        <v/>
      </c>
      <c r="M45" t="str">
        <f t="shared" si="8"/>
        <v/>
      </c>
      <c r="N45" t="str">
        <f t="shared" si="5"/>
        <v/>
      </c>
      <c r="O45" t="str">
        <f t="shared" si="6"/>
        <v/>
      </c>
      <c r="P45" s="34" t="str">
        <f t="shared" si="9"/>
        <v/>
      </c>
    </row>
    <row r="46" spans="2:16" x14ac:dyDescent="0.25">
      <c r="B46" t="str">
        <f>IFERROR(VLOOKUP(A46,PGI!$D$2:$E$255,2,FALSE),"")</f>
        <v/>
      </c>
      <c r="C46" t="str">
        <f>IFERROR(VLOOKUP(A46,PGI!$D$2:$F$255,3,FALSE),"")</f>
        <v/>
      </c>
      <c r="D46" t="str">
        <f ca="1"/>
        <v/>
      </c>
      <c r="E46" t="str">
        <f ca="1"/>
        <v/>
      </c>
      <c r="G46" t="str">
        <f>IFERROR(IF(VLOOKUP(A46,PGI!$B$2:$B$255,1,FALSE)&lt;&gt;0,1,0),"")</f>
        <v/>
      </c>
      <c r="H46" s="33"/>
      <c r="I46" s="33"/>
      <c r="L46" t="str">
        <f t="shared" si="7"/>
        <v/>
      </c>
      <c r="M46" t="str">
        <f t="shared" si="8"/>
        <v/>
      </c>
      <c r="N46" t="str">
        <f t="shared" si="5"/>
        <v/>
      </c>
      <c r="O46" t="str">
        <f t="shared" si="6"/>
        <v/>
      </c>
      <c r="P46" s="34" t="str">
        <f t="shared" si="9"/>
        <v/>
      </c>
    </row>
    <row r="47" spans="2:16" x14ac:dyDescent="0.25">
      <c r="B47" t="str">
        <f>IFERROR(VLOOKUP(A47,PGI!$D$2:$E$255,2,FALSE),"")</f>
        <v/>
      </c>
      <c r="C47" t="str">
        <f>IFERROR(VLOOKUP(A47,PGI!$D$2:$F$255,3,FALSE),"")</f>
        <v/>
      </c>
      <c r="D47" t="str">
        <f ca="1"/>
        <v/>
      </c>
      <c r="E47" t="str">
        <f ca="1"/>
        <v/>
      </c>
      <c r="G47" t="str">
        <f>IFERROR(IF(VLOOKUP(A47,PGI!$B$2:$B$255,1,FALSE)&lt;&gt;0,1,0),"")</f>
        <v/>
      </c>
      <c r="H47" s="33"/>
      <c r="I47" s="33"/>
      <c r="L47" t="str">
        <f t="shared" si="7"/>
        <v/>
      </c>
      <c r="M47" t="str">
        <f t="shared" si="8"/>
        <v/>
      </c>
      <c r="N47" t="str">
        <f t="shared" si="5"/>
        <v/>
      </c>
      <c r="O47" t="str">
        <f t="shared" si="6"/>
        <v/>
      </c>
      <c r="P47" s="34" t="str">
        <f t="shared" si="9"/>
        <v/>
      </c>
    </row>
    <row r="48" spans="2:16" x14ac:dyDescent="0.25">
      <c r="B48" t="str">
        <f>IFERROR(VLOOKUP(A48,PGI!$D$2:$E$255,2,FALSE),"")</f>
        <v/>
      </c>
      <c r="C48" t="str">
        <f>IFERROR(VLOOKUP(A48,PGI!$D$2:$F$255,3,FALSE),"")</f>
        <v/>
      </c>
      <c r="D48" t="str">
        <f ca="1"/>
        <v/>
      </c>
      <c r="E48" t="str">
        <f ca="1"/>
        <v/>
      </c>
      <c r="G48" t="str">
        <f>IFERROR(IF(VLOOKUP(A48,PGI!$B$2:$B$255,1,FALSE)&lt;&gt;0,1,0),"")</f>
        <v/>
      </c>
      <c r="L48" t="str">
        <f t="shared" si="7"/>
        <v/>
      </c>
      <c r="M48" t="str">
        <f t="shared" si="8"/>
        <v/>
      </c>
      <c r="N48" t="str">
        <f t="shared" si="5"/>
        <v/>
      </c>
      <c r="O48" t="str">
        <f t="shared" si="6"/>
        <v/>
      </c>
      <c r="P48" s="34" t="str">
        <f t="shared" si="9"/>
        <v/>
      </c>
    </row>
    <row r="49" spans="2:16" x14ac:dyDescent="0.25">
      <c r="B49" t="str">
        <f>IFERROR(VLOOKUP(A49,PGI!$D$2:$E$255,2,FALSE),"")</f>
        <v/>
      </c>
      <c r="C49" t="str">
        <f>IFERROR(VLOOKUP(A49,PGI!$D$2:$F$255,3,FALSE),"")</f>
        <v/>
      </c>
      <c r="D49" t="str">
        <f ca="1"/>
        <v/>
      </c>
      <c r="E49" t="str">
        <f ca="1"/>
        <v/>
      </c>
      <c r="G49" t="str">
        <f>IFERROR(IF(VLOOKUP(A49,PGI!$B$2:$B$255,1,FALSE)&lt;&gt;0,1,0),"")</f>
        <v/>
      </c>
      <c r="L49" t="str">
        <f t="shared" si="7"/>
        <v/>
      </c>
      <c r="M49" t="str">
        <f t="shared" si="8"/>
        <v/>
      </c>
      <c r="N49" t="str">
        <f t="shared" si="5"/>
        <v/>
      </c>
      <c r="O49" t="str">
        <f t="shared" si="6"/>
        <v/>
      </c>
      <c r="P49" s="34" t="str">
        <f t="shared" si="9"/>
        <v/>
      </c>
    </row>
    <row r="50" spans="2:16" x14ac:dyDescent="0.25">
      <c r="B50" t="str">
        <f>IFERROR(VLOOKUP(A50,PGI!$D$2:$E$255,2,FALSE),"")</f>
        <v/>
      </c>
      <c r="C50" t="str">
        <f>IFERROR(VLOOKUP(A50,PGI!$D$2:$F$255,3,FALSE),"")</f>
        <v/>
      </c>
      <c r="D50" t="str">
        <f ca="1"/>
        <v/>
      </c>
      <c r="E50" t="str">
        <f ca="1"/>
        <v/>
      </c>
      <c r="G50" t="str">
        <f>IFERROR(IF(VLOOKUP(A50,PGI!$B$2:$B$255,1,FALSE)&lt;&gt;0,1,0),"")</f>
        <v/>
      </c>
      <c r="L50" t="str">
        <f t="shared" si="7"/>
        <v/>
      </c>
      <c r="M50" t="str">
        <f t="shared" si="8"/>
        <v/>
      </c>
      <c r="N50" t="str">
        <f t="shared" si="5"/>
        <v/>
      </c>
      <c r="O50" t="str">
        <f t="shared" si="6"/>
        <v/>
      </c>
      <c r="P50" s="34" t="str">
        <f t="shared" si="9"/>
        <v/>
      </c>
    </row>
    <row r="51" spans="2:16" x14ac:dyDescent="0.25">
      <c r="B51" t="str">
        <f>IFERROR(VLOOKUP(A51,PGI!$D$2:$E$255,2,FALSE),"")</f>
        <v/>
      </c>
      <c r="C51" t="str">
        <f>IFERROR(VLOOKUP(A51,PGI!$D$2:$F$255,3,FALSE),"")</f>
        <v/>
      </c>
      <c r="D51" t="str">
        <f ca="1"/>
        <v/>
      </c>
      <c r="E51" t="str">
        <f ca="1"/>
        <v/>
      </c>
      <c r="G51" t="str">
        <f>IFERROR(IF(VLOOKUP(A51,PGI!$B$2:$B$255,1,FALSE)&lt;&gt;0,1,0),"")</f>
        <v/>
      </c>
      <c r="L51" t="str">
        <f t="shared" si="7"/>
        <v/>
      </c>
      <c r="M51" t="str">
        <f t="shared" si="8"/>
        <v/>
      </c>
      <c r="N51" t="str">
        <f t="shared" si="5"/>
        <v/>
      </c>
      <c r="O51" t="str">
        <f t="shared" si="6"/>
        <v/>
      </c>
      <c r="P51" s="34" t="str">
        <f t="shared" si="9"/>
        <v/>
      </c>
    </row>
    <row r="52" spans="2:16" x14ac:dyDescent="0.25">
      <c r="B52" t="str">
        <f>IFERROR(VLOOKUP(A52,PGI!$D$2:$E$255,2,FALSE),"")</f>
        <v/>
      </c>
      <c r="C52" t="str">
        <f>IFERROR(VLOOKUP(A52,PGI!$D$2:$F$255,3,FALSE),"")</f>
        <v/>
      </c>
      <c r="D52" t="str">
        <f ca="1"/>
        <v/>
      </c>
      <c r="E52" t="str">
        <f ca="1"/>
        <v/>
      </c>
      <c r="G52" t="str">
        <f>IFERROR(IF(VLOOKUP(A52,PGI!$B$2:$B$255,1,FALSE)&lt;&gt;0,1,0),"")</f>
        <v/>
      </c>
      <c r="L52" t="str">
        <f t="shared" si="7"/>
        <v/>
      </c>
      <c r="M52" t="str">
        <f t="shared" si="8"/>
        <v/>
      </c>
      <c r="N52" t="str">
        <f t="shared" si="5"/>
        <v/>
      </c>
      <c r="O52" t="str">
        <f t="shared" si="6"/>
        <v/>
      </c>
      <c r="P52" s="34" t="str">
        <f t="shared" si="9"/>
        <v/>
      </c>
    </row>
    <row r="53" spans="2:16" x14ac:dyDescent="0.25">
      <c r="B53" t="str">
        <f>IFERROR(VLOOKUP(A53,PGI!$D$2:$E$255,2,FALSE),"")</f>
        <v/>
      </c>
      <c r="C53" t="str">
        <f>IFERROR(VLOOKUP(A53,PGI!$D$2:$F$255,3,FALSE),"")</f>
        <v/>
      </c>
      <c r="D53" t="str">
        <f ca="1"/>
        <v/>
      </c>
      <c r="E53" t="str">
        <f ca="1"/>
        <v/>
      </c>
      <c r="G53" t="str">
        <f>IFERROR(IF(VLOOKUP(A53,PGI!$B$2:$B$255,1,FALSE)&lt;&gt;0,1,0),"")</f>
        <v/>
      </c>
      <c r="L53" t="str">
        <f t="shared" si="7"/>
        <v/>
      </c>
      <c r="M53" t="str">
        <f t="shared" si="8"/>
        <v/>
      </c>
      <c r="N53" t="str">
        <f t="shared" si="5"/>
        <v/>
      </c>
      <c r="O53" t="str">
        <f t="shared" si="6"/>
        <v/>
      </c>
      <c r="P53" s="34" t="str">
        <f t="shared" si="9"/>
        <v/>
      </c>
    </row>
    <row r="54" spans="2:16" x14ac:dyDescent="0.25">
      <c r="B54" t="str">
        <f>IFERROR(VLOOKUP(A54,PGI!$D$2:$E$255,2,FALSE),"")</f>
        <v/>
      </c>
      <c r="C54" t="str">
        <f>IFERROR(VLOOKUP(A54,PGI!$D$2:$F$255,3,FALSE),"")</f>
        <v/>
      </c>
      <c r="D54" t="str">
        <f ca="1"/>
        <v/>
      </c>
      <c r="E54" t="str">
        <f ca="1"/>
        <v/>
      </c>
      <c r="G54" t="str">
        <f>IFERROR(IF(VLOOKUP(A54,PGI!$B$2:$B$255,1,FALSE)&lt;&gt;0,1,0),"")</f>
        <v/>
      </c>
      <c r="L54" t="str">
        <f t="shared" si="7"/>
        <v/>
      </c>
      <c r="M54" t="str">
        <f t="shared" si="8"/>
        <v/>
      </c>
      <c r="N54" t="str">
        <f t="shared" si="5"/>
        <v/>
      </c>
      <c r="O54" t="str">
        <f t="shared" si="6"/>
        <v/>
      </c>
      <c r="P54" s="34" t="str">
        <f t="shared" si="9"/>
        <v/>
      </c>
    </row>
    <row r="55" spans="2:16" x14ac:dyDescent="0.25">
      <c r="B55" t="str">
        <f>IFERROR(VLOOKUP(A55,PGI!$D$2:$E$255,2,FALSE),"")</f>
        <v/>
      </c>
      <c r="C55" t="str">
        <f>IFERROR(VLOOKUP(A55,PGI!$D$2:$F$255,3,FALSE),"")</f>
        <v/>
      </c>
      <c r="D55" t="str">
        <f ca="1"/>
        <v/>
      </c>
      <c r="E55" t="str">
        <f ca="1"/>
        <v/>
      </c>
      <c r="G55" t="str">
        <f>IFERROR(IF(VLOOKUP(A55,PGI!$B$2:$B$255,1,FALSE)&lt;&gt;0,1,0),"")</f>
        <v/>
      </c>
      <c r="L55" t="str">
        <f t="shared" si="7"/>
        <v/>
      </c>
      <c r="M55" t="str">
        <f t="shared" si="8"/>
        <v/>
      </c>
      <c r="N55" t="str">
        <f t="shared" si="5"/>
        <v/>
      </c>
      <c r="O55" t="str">
        <f t="shared" si="6"/>
        <v/>
      </c>
      <c r="P55" s="34" t="str">
        <f t="shared" si="9"/>
        <v/>
      </c>
    </row>
    <row r="56" spans="2:16" x14ac:dyDescent="0.25">
      <c r="B56" t="str">
        <f>IFERROR(VLOOKUP(A56,PGI!$D$2:$E$255,2,FALSE),"")</f>
        <v/>
      </c>
      <c r="C56" t="str">
        <f>IFERROR(VLOOKUP(A56,PGI!$D$2:$F$255,3,FALSE),"")</f>
        <v/>
      </c>
      <c r="D56" t="str">
        <f ca="1"/>
        <v/>
      </c>
      <c r="E56" t="str">
        <f ca="1"/>
        <v/>
      </c>
      <c r="G56" t="str">
        <f>IFERROR(IF(VLOOKUP(A56,PGI!$B$2:$B$255,1,FALSE)&lt;&gt;0,1,0),"")</f>
        <v/>
      </c>
      <c r="L56" t="str">
        <f t="shared" si="7"/>
        <v/>
      </c>
      <c r="M56" t="str">
        <f t="shared" si="8"/>
        <v/>
      </c>
      <c r="N56" t="str">
        <f t="shared" si="5"/>
        <v/>
      </c>
      <c r="O56" t="str">
        <f t="shared" si="6"/>
        <v/>
      </c>
      <c r="P56" s="34" t="str">
        <f t="shared" si="9"/>
        <v/>
      </c>
    </row>
    <row r="57" spans="2:16" x14ac:dyDescent="0.25">
      <c r="B57" t="str">
        <f>IFERROR(VLOOKUP(A57,PGI!$D$2:$E$255,2,FALSE),"")</f>
        <v/>
      </c>
      <c r="C57" t="str">
        <f>IFERROR(VLOOKUP(A57,PGI!$D$2:$F$255,3,FALSE),"")</f>
        <v/>
      </c>
      <c r="D57" t="str">
        <f ca="1"/>
        <v/>
      </c>
      <c r="E57" t="str">
        <f ca="1"/>
        <v/>
      </c>
      <c r="G57" t="str">
        <f>IFERROR(IF(VLOOKUP(A57,PGI!$B$2:$B$255,1,FALSE)&lt;&gt;0,1,0),"")</f>
        <v/>
      </c>
      <c r="L57" t="str">
        <f t="shared" si="7"/>
        <v/>
      </c>
      <c r="M57" t="str">
        <f t="shared" si="8"/>
        <v/>
      </c>
      <c r="N57" t="str">
        <f t="shared" si="5"/>
        <v/>
      </c>
      <c r="O57" t="str">
        <f t="shared" si="6"/>
        <v/>
      </c>
      <c r="P57" s="34" t="str">
        <f t="shared" si="9"/>
        <v/>
      </c>
    </row>
    <row r="58" spans="2:16" x14ac:dyDescent="0.25">
      <c r="B58" t="str">
        <f>IFERROR(VLOOKUP(A58,PGI!$D$2:$E$255,2,FALSE),"")</f>
        <v/>
      </c>
      <c r="C58" t="str">
        <f>IFERROR(VLOOKUP(A58,PGI!$D$2:$F$255,3,FALSE),"")</f>
        <v/>
      </c>
      <c r="D58" t="str">
        <f ca="1"/>
        <v/>
      </c>
      <c r="E58" t="str">
        <f ca="1"/>
        <v/>
      </c>
      <c r="G58" t="str">
        <f>IFERROR(IF(VLOOKUP(A58,PGI!$B$2:$B$255,1,FALSE)&lt;&gt;0,1,0),"")</f>
        <v/>
      </c>
      <c r="L58" t="str">
        <f t="shared" si="7"/>
        <v/>
      </c>
      <c r="M58" t="str">
        <f t="shared" si="8"/>
        <v/>
      </c>
      <c r="N58" t="str">
        <f t="shared" si="5"/>
        <v/>
      </c>
      <c r="O58" t="str">
        <f t="shared" si="6"/>
        <v/>
      </c>
      <c r="P58" s="34" t="str">
        <f t="shared" si="9"/>
        <v/>
      </c>
    </row>
    <row r="59" spans="2:16" x14ac:dyDescent="0.25">
      <c r="B59" t="str">
        <f>IFERROR(VLOOKUP(A59,PGI!$D$2:$E$255,2,FALSE),"")</f>
        <v/>
      </c>
      <c r="C59" t="str">
        <f>IFERROR(VLOOKUP(A59,PGI!$D$2:$F$255,3,FALSE),"")</f>
        <v/>
      </c>
      <c r="D59" t="str">
        <f ca="1"/>
        <v/>
      </c>
      <c r="E59" t="str">
        <f ca="1"/>
        <v/>
      </c>
      <c r="G59" t="str">
        <f>IFERROR(IF(VLOOKUP(A59,PGI!$B$2:$B$255,1,FALSE)&lt;&gt;0,1,0),"")</f>
        <v/>
      </c>
      <c r="L59" t="str">
        <f t="shared" si="7"/>
        <v/>
      </c>
      <c r="M59" t="str">
        <f t="shared" si="8"/>
        <v/>
      </c>
      <c r="N59" t="str">
        <f t="shared" si="5"/>
        <v/>
      </c>
      <c r="O59" t="str">
        <f t="shared" si="6"/>
        <v/>
      </c>
      <c r="P59" s="34" t="str">
        <f t="shared" si="9"/>
        <v/>
      </c>
    </row>
    <row r="60" spans="2:16" x14ac:dyDescent="0.25">
      <c r="B60" t="str">
        <f>IFERROR(VLOOKUP(A60,PGI!$D$2:$E$255,2,FALSE),"")</f>
        <v/>
      </c>
      <c r="C60" t="str">
        <f>IFERROR(VLOOKUP(A60,PGI!$D$2:$F$255,3,FALSE),"")</f>
        <v/>
      </c>
      <c r="D60" t="str">
        <f ca="1"/>
        <v/>
      </c>
      <c r="E60" t="str">
        <f ca="1"/>
        <v/>
      </c>
      <c r="G60" t="str">
        <f>IFERROR(IF(VLOOKUP(A60,PGI!$B$2:$B$255,1,FALSE)&lt;&gt;0,1,0),"")</f>
        <v/>
      </c>
      <c r="L60" t="str">
        <f t="shared" si="7"/>
        <v/>
      </c>
      <c r="M60" t="str">
        <f t="shared" si="8"/>
        <v/>
      </c>
      <c r="N60" t="str">
        <f t="shared" si="5"/>
        <v/>
      </c>
      <c r="O60" t="str">
        <f t="shared" si="6"/>
        <v/>
      </c>
      <c r="P60" s="34" t="str">
        <f t="shared" si="9"/>
        <v/>
      </c>
    </row>
    <row r="61" spans="2:16" x14ac:dyDescent="0.25">
      <c r="B61" t="str">
        <f>IFERROR(VLOOKUP(A61,PGI!$D$2:$E$255,2,FALSE),"")</f>
        <v/>
      </c>
      <c r="C61" t="str">
        <f>IFERROR(VLOOKUP(A61,PGI!$D$2:$F$255,3,FALSE),"")</f>
        <v/>
      </c>
      <c r="D61" t="str">
        <f ca="1"/>
        <v/>
      </c>
      <c r="E61" t="str">
        <f ca="1"/>
        <v/>
      </c>
      <c r="G61" t="str">
        <f>IFERROR(IF(VLOOKUP(A61,PGI!$B$2:$B$255,1,FALSE)&lt;&gt;0,1,0),"")</f>
        <v/>
      </c>
      <c r="L61" t="str">
        <f t="shared" si="7"/>
        <v/>
      </c>
      <c r="M61" t="str">
        <f t="shared" si="8"/>
        <v/>
      </c>
      <c r="N61" t="str">
        <f t="shared" si="5"/>
        <v/>
      </c>
      <c r="O61" t="str">
        <f t="shared" si="6"/>
        <v/>
      </c>
      <c r="P61" s="34" t="str">
        <f t="shared" si="9"/>
        <v/>
      </c>
    </row>
    <row r="62" spans="2:16" x14ac:dyDescent="0.25">
      <c r="B62" t="str">
        <f>IFERROR(VLOOKUP(A62,PGI!$D$2:$E$255,2,FALSE),"")</f>
        <v/>
      </c>
      <c r="C62" t="str">
        <f>IFERROR(VLOOKUP(A62,PGI!$D$2:$F$255,3,FALSE),"")</f>
        <v/>
      </c>
      <c r="D62" t="str">
        <f ca="1"/>
        <v/>
      </c>
      <c r="E62" t="str">
        <f ca="1"/>
        <v/>
      </c>
      <c r="G62" t="str">
        <f>IFERROR(IF(VLOOKUP(A62,PGI!$B$2:$B$255,1,FALSE)&lt;&gt;0,1,0),"")</f>
        <v/>
      </c>
      <c r="L62" t="str">
        <f t="shared" si="7"/>
        <v/>
      </c>
      <c r="M62" t="str">
        <f t="shared" si="8"/>
        <v/>
      </c>
      <c r="N62" t="str">
        <f t="shared" si="5"/>
        <v/>
      </c>
      <c r="O62" t="str">
        <f t="shared" si="6"/>
        <v/>
      </c>
      <c r="P62" s="34" t="str">
        <f t="shared" si="9"/>
        <v/>
      </c>
    </row>
    <row r="63" spans="2:16" x14ac:dyDescent="0.25">
      <c r="B63" t="str">
        <f>IFERROR(VLOOKUP(A63,PGI!$D$2:$E$255,2,FALSE),"")</f>
        <v/>
      </c>
      <c r="C63" t="str">
        <f>IFERROR(VLOOKUP(A63,PGI!$D$2:$F$255,3,FALSE),"")</f>
        <v/>
      </c>
      <c r="D63" t="str">
        <f ca="1"/>
        <v/>
      </c>
      <c r="E63" t="str">
        <f ca="1"/>
        <v/>
      </c>
      <c r="G63" t="str">
        <f>IFERROR(IF(VLOOKUP(A63,PGI!$B$2:$B$255,1,FALSE)&lt;&gt;0,1,0),"")</f>
        <v/>
      </c>
      <c r="L63" t="str">
        <f t="shared" si="7"/>
        <v/>
      </c>
      <c r="M63" t="str">
        <f t="shared" si="8"/>
        <v/>
      </c>
      <c r="N63" t="str">
        <f t="shared" si="5"/>
        <v/>
      </c>
      <c r="O63" t="str">
        <f t="shared" si="6"/>
        <v/>
      </c>
      <c r="P63" s="34" t="str">
        <f t="shared" si="9"/>
        <v/>
      </c>
    </row>
    <row r="64" spans="2:16" x14ac:dyDescent="0.25">
      <c r="B64" t="str">
        <f>IFERROR(VLOOKUP(A64,PGI!$D$2:$E$255,2,FALSE),"")</f>
        <v/>
      </c>
      <c r="C64" t="str">
        <f>IFERROR(VLOOKUP(A64,PGI!$D$2:$F$255,3,FALSE),"")</f>
        <v/>
      </c>
      <c r="D64" t="str">
        <f ca="1"/>
        <v/>
      </c>
      <c r="E64" t="str">
        <f ca="1"/>
        <v/>
      </c>
      <c r="G64" t="str">
        <f>IFERROR(IF(VLOOKUP(A64,PGI!$B$2:$B$255,1,FALSE)&lt;&gt;0,1,0),"")</f>
        <v/>
      </c>
      <c r="L64" t="str">
        <f t="shared" si="7"/>
        <v/>
      </c>
      <c r="M64" t="str">
        <f t="shared" si="8"/>
        <v/>
      </c>
      <c r="N64" t="str">
        <f t="shared" si="5"/>
        <v/>
      </c>
      <c r="O64" t="str">
        <f t="shared" si="6"/>
        <v/>
      </c>
      <c r="P64" s="34" t="str">
        <f t="shared" si="9"/>
        <v/>
      </c>
    </row>
    <row r="65" spans="2:16" x14ac:dyDescent="0.25">
      <c r="B65" t="str">
        <f>IFERROR(VLOOKUP(A65,PGI!$D$2:$E$255,2,FALSE),"")</f>
        <v/>
      </c>
      <c r="C65" t="str">
        <f>IFERROR(VLOOKUP(A65,PGI!$D$2:$F$255,3,FALSE),"")</f>
        <v/>
      </c>
      <c r="D65" t="str">
        <f ca="1"/>
        <v/>
      </c>
      <c r="E65" t="str">
        <f ca="1"/>
        <v/>
      </c>
      <c r="G65" t="str">
        <f>IFERROR(IF(VLOOKUP(A65,PGI!$B$2:$B$255,1,FALSE)&lt;&gt;0,1,0),"")</f>
        <v/>
      </c>
      <c r="L65" t="str">
        <f t="shared" si="7"/>
        <v/>
      </c>
      <c r="M65" t="str">
        <f t="shared" si="8"/>
        <v/>
      </c>
      <c r="N65" t="str">
        <f t="shared" si="5"/>
        <v/>
      </c>
      <c r="O65" t="str">
        <f t="shared" si="6"/>
        <v/>
      </c>
      <c r="P65" s="34" t="str">
        <f t="shared" si="9"/>
        <v/>
      </c>
    </row>
    <row r="66" spans="2:16" x14ac:dyDescent="0.25">
      <c r="B66" t="str">
        <f>IFERROR(VLOOKUP(A66,PGI!$D$2:$E$255,2,FALSE),"")</f>
        <v/>
      </c>
      <c r="C66" t="str">
        <f>IFERROR(VLOOKUP(A66,PGI!$D$2:$F$255,3,FALSE),"")</f>
        <v/>
      </c>
      <c r="D66" t="str">
        <f ca="1"/>
        <v/>
      </c>
      <c r="E66" t="str">
        <f ca="1"/>
        <v/>
      </c>
      <c r="G66" t="str">
        <f>IFERROR(IF(VLOOKUP(A66,PGI!$B$2:$B$255,1,FALSE)&lt;&gt;0,1,0),"")</f>
        <v/>
      </c>
      <c r="L66" t="str">
        <f t="shared" ref="L66:L81" si="10">IF(F66=1,IF(J66="kg",D66*IF(I66="",1,I66),IF(J66="L",E66*IF(I66="",1,I66),"Specify unit (L or kg)")),"")</f>
        <v/>
      </c>
      <c r="M66" t="str">
        <f t="shared" ref="M66:M90" si="11">IF(F66=1,IF(K66="","Enter price per unit",L66*K66),"")</f>
        <v/>
      </c>
      <c r="N66" t="str">
        <f t="shared" ref="N66:N85" si="12">IFERROR(L66/$S$1,"")</f>
        <v/>
      </c>
      <c r="O66" t="str">
        <f t="shared" si="6"/>
        <v/>
      </c>
      <c r="P66" s="34" t="str">
        <f t="shared" si="9"/>
        <v/>
      </c>
    </row>
    <row r="67" spans="2:16" x14ac:dyDescent="0.25">
      <c r="B67" t="str">
        <f>IFERROR(VLOOKUP(A67,PGI!$D$2:$E$255,2,FALSE),"")</f>
        <v/>
      </c>
      <c r="C67" t="str">
        <f>IFERROR(VLOOKUP(A67,PGI!$D$2:$F$255,3,FALSE),"")</f>
        <v/>
      </c>
      <c r="D67" t="str">
        <f ca="1"/>
        <v/>
      </c>
      <c r="E67" t="str">
        <f ca="1"/>
        <v/>
      </c>
      <c r="G67" t="str">
        <f>IFERROR(IF(VLOOKUP(A67,PGI!$B$2:$B$255,1,FALSE)&lt;&gt;0,1,0),"")</f>
        <v/>
      </c>
      <c r="L67" t="str">
        <f t="shared" si="10"/>
        <v/>
      </c>
      <c r="M67" t="str">
        <f t="shared" si="11"/>
        <v/>
      </c>
      <c r="N67" t="str">
        <f t="shared" si="12"/>
        <v/>
      </c>
      <c r="O67" t="str">
        <f t="shared" ref="O67:O86" si="13">IFERROR(M67/$S$1,"")</f>
        <v/>
      </c>
      <c r="P67" s="34" t="str">
        <f t="shared" si="9"/>
        <v/>
      </c>
    </row>
    <row r="68" spans="2:16" x14ac:dyDescent="0.25">
      <c r="B68" t="str">
        <f>IFERROR(VLOOKUP(A68,PGI!$D$2:$E$255,2,FALSE),"")</f>
        <v/>
      </c>
      <c r="C68" t="str">
        <f>IFERROR(VLOOKUP(A68,PGI!$D$2:$F$255,3,FALSE),"")</f>
        <v/>
      </c>
      <c r="D68" t="str">
        <f ca="1"/>
        <v/>
      </c>
      <c r="E68" t="str">
        <f ca="1"/>
        <v/>
      </c>
      <c r="G68" t="str">
        <f>IFERROR(IF(VLOOKUP(A68,PGI!$B$2:$B$255,1,FALSE)&lt;&gt;0,1,0),"")</f>
        <v/>
      </c>
      <c r="L68" t="str">
        <f t="shared" si="10"/>
        <v/>
      </c>
      <c r="M68" t="str">
        <f t="shared" si="11"/>
        <v/>
      </c>
      <c r="N68" t="str">
        <f t="shared" si="12"/>
        <v/>
      </c>
      <c r="O68" t="str">
        <f t="shared" si="13"/>
        <v/>
      </c>
      <c r="P68" s="34" t="str">
        <f t="shared" si="9"/>
        <v/>
      </c>
    </row>
    <row r="69" spans="2:16" x14ac:dyDescent="0.25">
      <c r="B69" t="str">
        <f>IFERROR(VLOOKUP(A69,PGI!$D$2:$E$255,2,FALSE),"")</f>
        <v/>
      </c>
      <c r="C69" t="str">
        <f>IFERROR(VLOOKUP(A69,PGI!$D$2:$F$255,3,FALSE),"")</f>
        <v/>
      </c>
      <c r="D69" t="str">
        <f ca="1"/>
        <v/>
      </c>
      <c r="E69" t="str">
        <f ca="1"/>
        <v/>
      </c>
      <c r="G69" t="str">
        <f>IFERROR(IF(VLOOKUP(A69,PGI!$B$2:$B$255,1,FALSE)&lt;&gt;0,1,0),"")</f>
        <v/>
      </c>
      <c r="L69" t="str">
        <f t="shared" si="10"/>
        <v/>
      </c>
      <c r="M69" t="str">
        <f t="shared" si="11"/>
        <v/>
      </c>
      <c r="N69" t="str">
        <f t="shared" si="12"/>
        <v/>
      </c>
      <c r="O69" t="str">
        <f t="shared" si="13"/>
        <v/>
      </c>
      <c r="P69" s="34" t="str">
        <f t="shared" si="9"/>
        <v/>
      </c>
    </row>
    <row r="70" spans="2:16" x14ac:dyDescent="0.25">
      <c r="B70" t="str">
        <f>IFERROR(VLOOKUP(A70,PGI!$D$2:$E$255,2,FALSE),"")</f>
        <v/>
      </c>
      <c r="C70" t="str">
        <f>IFERROR(VLOOKUP(A70,PGI!$D$2:$F$255,3,FALSE),"")</f>
        <v/>
      </c>
      <c r="D70" t="str">
        <f ca="1"/>
        <v/>
      </c>
      <c r="E70" t="str">
        <f ca="1"/>
        <v/>
      </c>
      <c r="G70" t="str">
        <f>IFERROR(IF(VLOOKUP(A70,PGI!$B$2:$B$255,1,FALSE)&lt;&gt;0,1,0),"")</f>
        <v/>
      </c>
      <c r="L70" t="str">
        <f t="shared" si="10"/>
        <v/>
      </c>
      <c r="M70" t="str">
        <f t="shared" si="11"/>
        <v/>
      </c>
      <c r="N70" t="str">
        <f t="shared" si="12"/>
        <v/>
      </c>
      <c r="O70" t="str">
        <f t="shared" si="13"/>
        <v/>
      </c>
      <c r="P70" s="34" t="str">
        <f t="shared" ref="P70:P85" si="14">IF(AND(L70&lt;&gt;"",J70=""),"Unit not set. If mass is non-zero then unit is kg else L","")</f>
        <v/>
      </c>
    </row>
    <row r="71" spans="2:16" x14ac:dyDescent="0.25">
      <c r="B71" t="str">
        <f>IFERROR(VLOOKUP(A71,PGI!$D$2:$E$255,2,FALSE),"")</f>
        <v/>
      </c>
      <c r="C71" t="str">
        <f>IFERROR(VLOOKUP(A71,PGI!$D$2:$F$255,3,FALSE),"")</f>
        <v/>
      </c>
      <c r="D71" t="str">
        <f ca="1"/>
        <v/>
      </c>
      <c r="E71" t="str">
        <f ca="1"/>
        <v/>
      </c>
      <c r="G71" t="str">
        <f>IFERROR(IF(VLOOKUP(A71,PGI!$B$2:$B$255,1,FALSE)&lt;&gt;0,1,0),"")</f>
        <v/>
      </c>
      <c r="L71" t="str">
        <f t="shared" si="10"/>
        <v/>
      </c>
      <c r="M71" t="str">
        <f t="shared" si="11"/>
        <v/>
      </c>
      <c r="N71" t="str">
        <f t="shared" si="12"/>
        <v/>
      </c>
      <c r="O71" t="str">
        <f t="shared" si="13"/>
        <v/>
      </c>
      <c r="P71" s="34" t="str">
        <f t="shared" si="14"/>
        <v/>
      </c>
    </row>
    <row r="72" spans="2:16" x14ac:dyDescent="0.25">
      <c r="B72" t="str">
        <f>IFERROR(VLOOKUP(A72,PGI!$D$2:$E$255,2,FALSE),"")</f>
        <v/>
      </c>
      <c r="C72" t="str">
        <f>IFERROR(VLOOKUP(A72,PGI!$D$2:$F$255,3,FALSE),"")</f>
        <v/>
      </c>
      <c r="D72" t="str">
        <f ca="1"/>
        <v/>
      </c>
      <c r="E72" t="str">
        <f ca="1"/>
        <v/>
      </c>
      <c r="G72" t="str">
        <f>IFERROR(IF(VLOOKUP(A72,PGI!$B$2:$B$255,1,FALSE)&lt;&gt;0,1,0),"")</f>
        <v/>
      </c>
      <c r="L72" t="str">
        <f t="shared" si="10"/>
        <v/>
      </c>
      <c r="M72" t="str">
        <f t="shared" si="11"/>
        <v/>
      </c>
      <c r="N72" t="str">
        <f t="shared" si="12"/>
        <v/>
      </c>
      <c r="O72" t="str">
        <f t="shared" si="13"/>
        <v/>
      </c>
      <c r="P72" s="34" t="str">
        <f t="shared" si="14"/>
        <v/>
      </c>
    </row>
    <row r="73" spans="2:16" x14ac:dyDescent="0.25">
      <c r="B73" t="str">
        <f>IFERROR(VLOOKUP(A73,PGI!$D$2:$E$255,2,FALSE),"")</f>
        <v/>
      </c>
      <c r="C73" t="str">
        <f>IFERROR(VLOOKUP(A73,PGI!$D$2:$F$255,3,FALSE),"")</f>
        <v/>
      </c>
      <c r="D73" t="str">
        <f ca="1"/>
        <v/>
      </c>
      <c r="E73" t="str">
        <f ca="1"/>
        <v/>
      </c>
      <c r="G73" t="str">
        <f>IFERROR(IF(VLOOKUP(A73,PGI!$B$2:$B$255,1,FALSE)&lt;&gt;0,1,0),"")</f>
        <v/>
      </c>
      <c r="L73" t="str">
        <f t="shared" si="10"/>
        <v/>
      </c>
      <c r="M73" t="str">
        <f t="shared" si="11"/>
        <v/>
      </c>
      <c r="N73" t="str">
        <f t="shared" si="12"/>
        <v/>
      </c>
      <c r="O73" t="str">
        <f t="shared" si="13"/>
        <v/>
      </c>
      <c r="P73" s="34" t="str">
        <f t="shared" si="14"/>
        <v/>
      </c>
    </row>
    <row r="74" spans="2:16" x14ac:dyDescent="0.25">
      <c r="B74" t="str">
        <f>IFERROR(VLOOKUP(A74,PGI!$D$2:$E$255,2,FALSE),"")</f>
        <v/>
      </c>
      <c r="C74" t="str">
        <f>IFERROR(VLOOKUP(A74,PGI!$D$2:$F$255,3,FALSE),"")</f>
        <v/>
      </c>
      <c r="D74" t="str">
        <f ca="1"/>
        <v/>
      </c>
      <c r="E74" t="str">
        <f ca="1"/>
        <v/>
      </c>
      <c r="G74" t="str">
        <f>IFERROR(IF(VLOOKUP(A74,PGI!$B$2:$B$255,1,FALSE)&lt;&gt;0,1,0),"")</f>
        <v/>
      </c>
      <c r="L74" t="str">
        <f t="shared" si="10"/>
        <v/>
      </c>
      <c r="M74" t="str">
        <f t="shared" si="11"/>
        <v/>
      </c>
      <c r="N74" t="str">
        <f t="shared" si="12"/>
        <v/>
      </c>
      <c r="O74" t="str">
        <f t="shared" si="13"/>
        <v/>
      </c>
      <c r="P74" s="34" t="str">
        <f t="shared" si="14"/>
        <v/>
      </c>
    </row>
    <row r="75" spans="2:16" x14ac:dyDescent="0.25">
      <c r="B75" t="str">
        <f>IFERROR(VLOOKUP(A75,PGI!$D$2:$E$255,2,FALSE),"")</f>
        <v/>
      </c>
      <c r="C75" t="str">
        <f>IFERROR(VLOOKUP(A75,PGI!$D$2:$F$255,3,FALSE),"")</f>
        <v/>
      </c>
      <c r="D75" t="str">
        <f ca="1"/>
        <v/>
      </c>
      <c r="E75" t="str">
        <f ca="1"/>
        <v/>
      </c>
      <c r="G75" t="str">
        <f>IFERROR(IF(VLOOKUP(A75,PGI!$B$2:$B$255,1,FALSE)&lt;&gt;0,1,0),"")</f>
        <v/>
      </c>
      <c r="L75" t="str">
        <f t="shared" si="10"/>
        <v/>
      </c>
      <c r="M75" t="str">
        <f t="shared" si="11"/>
        <v/>
      </c>
      <c r="N75" t="str">
        <f t="shared" si="12"/>
        <v/>
      </c>
      <c r="O75" t="str">
        <f t="shared" si="13"/>
        <v/>
      </c>
      <c r="P75" s="34" t="str">
        <f t="shared" si="14"/>
        <v/>
      </c>
    </row>
    <row r="76" spans="2:16" x14ac:dyDescent="0.25">
      <c r="B76" t="str">
        <f>IFERROR(VLOOKUP(A76,PGI!$D$2:$E$255,2,FALSE),"")</f>
        <v/>
      </c>
      <c r="C76" t="str">
        <f>IFERROR(VLOOKUP(A76,PGI!$D$2:$F$255,3,FALSE),"")</f>
        <v/>
      </c>
      <c r="D76" t="str">
        <f ca="1"/>
        <v/>
      </c>
      <c r="E76" t="str">
        <f ca="1"/>
        <v/>
      </c>
      <c r="G76" t="str">
        <f>IFERROR(IF(VLOOKUP(A76,PGI!$B$2:$B$255,1,FALSE)&lt;&gt;0,1,0),"")</f>
        <v/>
      </c>
      <c r="L76" t="str">
        <f t="shared" si="10"/>
        <v/>
      </c>
      <c r="M76" t="str">
        <f t="shared" si="11"/>
        <v/>
      </c>
      <c r="N76" t="str">
        <f t="shared" si="12"/>
        <v/>
      </c>
      <c r="O76" t="str">
        <f t="shared" si="13"/>
        <v/>
      </c>
      <c r="P76" s="34" t="str">
        <f t="shared" si="14"/>
        <v/>
      </c>
    </row>
    <row r="77" spans="2:16" x14ac:dyDescent="0.25">
      <c r="B77" t="str">
        <f>IFERROR(VLOOKUP(A77,PGI!$D$2:$E$255,2,FALSE),"")</f>
        <v/>
      </c>
      <c r="C77" t="str">
        <f>IFERROR(VLOOKUP(A77,PGI!$D$2:$F$255,3,FALSE),"")</f>
        <v/>
      </c>
      <c r="D77" t="str">
        <f ca="1"/>
        <v/>
      </c>
      <c r="E77" t="str">
        <f ca="1"/>
        <v/>
      </c>
      <c r="G77" t="str">
        <f>IFERROR(IF(VLOOKUP(A77,PGI!$B$2:$B$255,1,FALSE)&lt;&gt;0,1,0),"")</f>
        <v/>
      </c>
      <c r="L77" t="str">
        <f t="shared" si="10"/>
        <v/>
      </c>
      <c r="M77" t="str">
        <f t="shared" si="11"/>
        <v/>
      </c>
      <c r="N77" t="str">
        <f t="shared" si="12"/>
        <v/>
      </c>
      <c r="O77" t="str">
        <f t="shared" si="13"/>
        <v/>
      </c>
      <c r="P77" s="34" t="str">
        <f t="shared" si="14"/>
        <v/>
      </c>
    </row>
    <row r="78" spans="2:16" x14ac:dyDescent="0.25">
      <c r="B78" t="str">
        <f>IFERROR(VLOOKUP(A78,PGI!$D$2:$E$255,2,FALSE),"")</f>
        <v/>
      </c>
      <c r="C78" t="str">
        <f>IFERROR(VLOOKUP(A78,PGI!$D$2:$F$255,3,FALSE),"")</f>
        <v/>
      </c>
      <c r="D78" t="str">
        <f ca="1"/>
        <v/>
      </c>
      <c r="E78" t="str">
        <f ca="1"/>
        <v/>
      </c>
      <c r="G78" t="str">
        <f>IFERROR(IF(VLOOKUP(A78,PGI!$B$2:$B$255,1,FALSE)&lt;&gt;0,1,0),"")</f>
        <v/>
      </c>
      <c r="L78" t="str">
        <f t="shared" si="10"/>
        <v/>
      </c>
      <c r="M78" t="str">
        <f t="shared" si="11"/>
        <v/>
      </c>
      <c r="N78" t="str">
        <f t="shared" si="12"/>
        <v/>
      </c>
      <c r="O78" t="str">
        <f t="shared" si="13"/>
        <v/>
      </c>
      <c r="P78" s="34" t="str">
        <f t="shared" si="14"/>
        <v/>
      </c>
    </row>
    <row r="79" spans="2:16" x14ac:dyDescent="0.25">
      <c r="B79" t="str">
        <f>IFERROR(VLOOKUP(A79,PGI!$D$2:$E$255,2,FALSE),"")</f>
        <v/>
      </c>
      <c r="C79" t="str">
        <f>IFERROR(VLOOKUP(A79,PGI!$D$2:$F$255,3,FALSE),"")</f>
        <v/>
      </c>
      <c r="D79" t="str">
        <f ca="1"/>
        <v/>
      </c>
      <c r="E79" t="str">
        <f ca="1"/>
        <v/>
      </c>
      <c r="G79" t="str">
        <f>IFERROR(IF(VLOOKUP(A79,PGI!$B$2:$B$255,1,FALSE)&lt;&gt;0,1,0),"")</f>
        <v/>
      </c>
      <c r="L79" t="str">
        <f t="shared" si="10"/>
        <v/>
      </c>
      <c r="M79" t="str">
        <f t="shared" si="11"/>
        <v/>
      </c>
      <c r="N79" t="str">
        <f t="shared" si="12"/>
        <v/>
      </c>
      <c r="O79" t="str">
        <f t="shared" si="13"/>
        <v/>
      </c>
      <c r="P79" s="34" t="str">
        <f t="shared" si="14"/>
        <v/>
      </c>
    </row>
    <row r="80" spans="2:16" x14ac:dyDescent="0.25">
      <c r="B80" t="str">
        <f>IFERROR(VLOOKUP(A80,PGI!$D$2:$E$255,2,FALSE),"")</f>
        <v/>
      </c>
      <c r="C80" t="str">
        <f>IFERROR(VLOOKUP(A80,PGI!$D$2:$F$255,3,FALSE),"")</f>
        <v/>
      </c>
      <c r="D80" t="str">
        <f ca="1"/>
        <v/>
      </c>
      <c r="E80" t="str">
        <f ca="1"/>
        <v/>
      </c>
      <c r="G80" t="str">
        <f>IFERROR(IF(VLOOKUP(A80,PGI!$B$2:$B$255,1,FALSE)&lt;&gt;0,1,0),"")</f>
        <v/>
      </c>
      <c r="L80" t="str">
        <f t="shared" si="10"/>
        <v/>
      </c>
      <c r="M80" t="str">
        <f t="shared" si="11"/>
        <v/>
      </c>
      <c r="N80" t="str">
        <f t="shared" si="12"/>
        <v/>
      </c>
      <c r="O80" t="str">
        <f t="shared" si="13"/>
        <v/>
      </c>
      <c r="P80" s="34" t="str">
        <f t="shared" si="14"/>
        <v/>
      </c>
    </row>
    <row r="81" spans="2:16" x14ac:dyDescent="0.25">
      <c r="B81" t="str">
        <f>IFERROR(VLOOKUP(A81,PGI!$D$2:$E$255,2,FALSE),"")</f>
        <v/>
      </c>
      <c r="C81" t="str">
        <f>IFERROR(VLOOKUP(A81,PGI!$D$2:$F$255,3,FALSE),"")</f>
        <v/>
      </c>
      <c r="D81" t="str">
        <f ca="1"/>
        <v/>
      </c>
      <c r="E81" t="str">
        <f ca="1"/>
        <v/>
      </c>
      <c r="G81" t="str">
        <f>IFERROR(IF(VLOOKUP(A81,PGI!$B$2:$B$255,1,FALSE)&lt;&gt;0,1,0),"")</f>
        <v/>
      </c>
      <c r="L81" t="str">
        <f t="shared" si="10"/>
        <v/>
      </c>
      <c r="M81" t="str">
        <f t="shared" si="11"/>
        <v/>
      </c>
      <c r="N81" t="str">
        <f t="shared" si="12"/>
        <v/>
      </c>
      <c r="O81" t="str">
        <f t="shared" si="13"/>
        <v/>
      </c>
      <c r="P81" s="34" t="str">
        <f t="shared" si="14"/>
        <v/>
      </c>
    </row>
    <row r="82" spans="2:16" x14ac:dyDescent="0.25">
      <c r="B82" t="str">
        <f>IFERROR(VLOOKUP(A82,PGI!$D$2:$E$255,2,FALSE),"")</f>
        <v/>
      </c>
      <c r="C82" t="str">
        <f>IFERROR(VLOOKUP(A82,PGI!$D$2:$F$255,3,FALSE),"")</f>
        <v/>
      </c>
      <c r="D82" t="str">
        <f ca="1"/>
        <v/>
      </c>
      <c r="E82" t="str">
        <f ca="1"/>
        <v/>
      </c>
      <c r="G82" t="str">
        <f>IFERROR(IF(VLOOKUP(A82,PGI!$B$2:$B$255,1,FALSE)&lt;&gt;0,1,0),"")</f>
        <v/>
      </c>
      <c r="L82" t="str">
        <f t="shared" ref="L82:L87" si="15">IF(F82=1,IF(J82="kg",D82*I82,IF(J82="L",E82*I82,IF(D82&lt;&gt;0,D82,IF(E82&lt;&gt;0,E82)))),"")</f>
        <v/>
      </c>
      <c r="M82" t="str">
        <f t="shared" si="11"/>
        <v/>
      </c>
      <c r="N82" t="str">
        <f t="shared" si="12"/>
        <v/>
      </c>
      <c r="O82" t="str">
        <f t="shared" si="13"/>
        <v/>
      </c>
      <c r="P82" s="34" t="str">
        <f t="shared" si="14"/>
        <v/>
      </c>
    </row>
    <row r="83" spans="2:16" x14ac:dyDescent="0.25">
      <c r="B83" t="str">
        <f>IFERROR(VLOOKUP(A83,PGI!$D$2:$E$255,2,FALSE),"")</f>
        <v/>
      </c>
      <c r="C83" t="str">
        <f>IFERROR(VLOOKUP(A83,PGI!$D$2:$F$255,3,FALSE),"")</f>
        <v/>
      </c>
      <c r="D83" t="str">
        <f ca="1"/>
        <v/>
      </c>
      <c r="E83" t="str">
        <f ca="1"/>
        <v/>
      </c>
      <c r="G83" t="str">
        <f>IFERROR(IF(VLOOKUP(A83,PGI!$B$2:$B$255,1,FALSE)&lt;&gt;0,1,0),"")</f>
        <v/>
      </c>
      <c r="L83" t="str">
        <f t="shared" si="15"/>
        <v/>
      </c>
      <c r="M83" t="str">
        <f t="shared" si="11"/>
        <v/>
      </c>
      <c r="N83" t="str">
        <f t="shared" si="12"/>
        <v/>
      </c>
      <c r="O83" t="str">
        <f t="shared" si="13"/>
        <v/>
      </c>
      <c r="P83" s="34" t="str">
        <f t="shared" si="14"/>
        <v/>
      </c>
    </row>
    <row r="84" spans="2:16" x14ac:dyDescent="0.25">
      <c r="B84" t="str">
        <f>IFERROR(VLOOKUP(A84,PGI!$D$2:$E$255,2,FALSE),"")</f>
        <v/>
      </c>
      <c r="C84" t="str">
        <f>IFERROR(VLOOKUP(A84,PGI!$D$2:$F$255,3,FALSE),"")</f>
        <v/>
      </c>
      <c r="D84" t="str">
        <f ca="1"/>
        <v/>
      </c>
      <c r="E84" t="str">
        <f ca="1"/>
        <v/>
      </c>
      <c r="G84" t="str">
        <f>IFERROR(IF(VLOOKUP(A84,PGI!$B$2:$B$255,1,FALSE)&lt;&gt;0,1,0),"")</f>
        <v/>
      </c>
      <c r="L84" t="str">
        <f t="shared" si="15"/>
        <v/>
      </c>
      <c r="M84" t="str">
        <f t="shared" si="11"/>
        <v/>
      </c>
      <c r="N84" t="str">
        <f t="shared" si="12"/>
        <v/>
      </c>
      <c r="O84" t="str">
        <f t="shared" si="13"/>
        <v/>
      </c>
      <c r="P84" s="34" t="str">
        <f t="shared" si="14"/>
        <v/>
      </c>
    </row>
    <row r="85" spans="2:16" x14ac:dyDescent="0.25">
      <c r="B85" t="str">
        <f>IFERROR(VLOOKUP(A85,PGI!$D$2:$E$255,2,FALSE),"")</f>
        <v/>
      </c>
      <c r="C85" t="str">
        <f>IFERROR(VLOOKUP(A85,PGI!$D$2:$F$255,3,FALSE),"")</f>
        <v/>
      </c>
      <c r="D85" t="str">
        <f ca="1"/>
        <v/>
      </c>
      <c r="E85" t="str">
        <f ca="1"/>
        <v/>
      </c>
      <c r="G85" t="str">
        <f>IFERROR(IF(VLOOKUP(A85,PGI!$B$2:$B$255,1,FALSE)&lt;&gt;0,1,0),"")</f>
        <v/>
      </c>
      <c r="L85" t="str">
        <f t="shared" si="15"/>
        <v/>
      </c>
      <c r="M85" t="str">
        <f t="shared" si="11"/>
        <v/>
      </c>
      <c r="N85" t="str">
        <f t="shared" si="12"/>
        <v/>
      </c>
      <c r="O85" t="str">
        <f t="shared" si="13"/>
        <v/>
      </c>
      <c r="P85" t="str">
        <f t="shared" si="14"/>
        <v/>
      </c>
    </row>
    <row r="86" spans="2:16" x14ac:dyDescent="0.25">
      <c r="B86" t="str">
        <f>IFERROR(VLOOKUP(A86,PGI!$D$2:$E$255,2,FALSE),"")</f>
        <v/>
      </c>
      <c r="C86" t="str">
        <f>IFERROR(VLOOKUP(A86,PGI!$D$2:$F$255,3,FALSE),"")</f>
        <v/>
      </c>
      <c r="D86" t="str">
        <f ca="1"/>
        <v/>
      </c>
      <c r="E86" t="str">
        <f ca="1"/>
        <v/>
      </c>
      <c r="G86" t="str">
        <f>IFERROR(IF(VLOOKUP(A86,PGI!$B$2:$B$255,1,FALSE)&lt;&gt;0,1,0),"")</f>
        <v/>
      </c>
      <c r="L86" t="str">
        <f t="shared" si="15"/>
        <v/>
      </c>
      <c r="M86" t="str">
        <f t="shared" si="11"/>
        <v/>
      </c>
      <c r="O86" t="str">
        <f t="shared" si="13"/>
        <v/>
      </c>
    </row>
    <row r="87" spans="2:16" x14ac:dyDescent="0.25">
      <c r="B87" t="str">
        <f>IFERROR(VLOOKUP(A87,PGI!$D$2:$E$255,2,FALSE),"")</f>
        <v/>
      </c>
      <c r="C87" t="str">
        <f>IFERROR(VLOOKUP(A87,PGI!$D$2:$F$255,3,FALSE),"")</f>
        <v/>
      </c>
      <c r="D87" t="str">
        <f ca="1"/>
        <v/>
      </c>
      <c r="E87" t="str">
        <f ca="1"/>
        <v/>
      </c>
      <c r="G87" t="str">
        <f>IFERROR(IF(VLOOKUP(A87,PGI!$B$2:$B$255,1,FALSE)&lt;&gt;0,1,0),"")</f>
        <v/>
      </c>
      <c r="L87" t="str">
        <f t="shared" si="15"/>
        <v/>
      </c>
      <c r="M87" t="str">
        <f t="shared" si="11"/>
        <v/>
      </c>
    </row>
    <row r="88" spans="2:16" x14ac:dyDescent="0.25">
      <c r="B88" t="str">
        <f>IFERROR(VLOOKUP(A88,PGI!$D$2:$E$255,2,FALSE),"")</f>
        <v/>
      </c>
      <c r="C88" t="str">
        <f>IFERROR(VLOOKUP(A88,PGI!$D$2:$F$255,3,FALSE),"")</f>
        <v/>
      </c>
      <c r="D88" t="str">
        <f ca="1"/>
        <v/>
      </c>
      <c r="E88" t="str">
        <f ca="1"/>
        <v/>
      </c>
      <c r="G88" t="str">
        <f>IFERROR(IF(VLOOKUP(A88,PGI!$B$2:$B$255,1,FALSE)&lt;&gt;0,1,0),"")</f>
        <v/>
      </c>
      <c r="M88" t="str">
        <f t="shared" si="11"/>
        <v/>
      </c>
    </row>
    <row r="89" spans="2:16" x14ac:dyDescent="0.25">
      <c r="B89" t="str">
        <f>IFERROR(VLOOKUP(A89,PGI!$D$2:$E$255,2,FALSE),"")</f>
        <v/>
      </c>
      <c r="C89" t="str">
        <f>IFERROR(VLOOKUP(A89,PGI!$D$2:$F$255,3,FALSE),"")</f>
        <v/>
      </c>
      <c r="D89" t="str">
        <f ca="1"/>
        <v/>
      </c>
      <c r="E89" t="str">
        <f ca="1"/>
        <v/>
      </c>
      <c r="G89" t="str">
        <f>IFERROR(IF(VLOOKUP(A89,PGI!$B$2:$B$255,1,FALSE)&lt;&gt;0,1,0),"")</f>
        <v/>
      </c>
      <c r="M89" t="str">
        <f t="shared" si="11"/>
        <v/>
      </c>
    </row>
    <row r="90" spans="2:16" x14ac:dyDescent="0.25">
      <c r="C90" t="str">
        <f>IFERROR(VLOOKUP(A90,PGI!$D$2:$F$255,3,FALSE),"")</f>
        <v/>
      </c>
      <c r="D90" t="str">
        <f ca="1"/>
        <v/>
      </c>
      <c r="E90" t="str">
        <f ca="1"/>
        <v/>
      </c>
      <c r="G90" t="str">
        <f>IFERROR(IF(VLOOKUP(A90,PGI!$B$2:$B$255,1,FALSE)&lt;&gt;0,1,0),"")</f>
        <v/>
      </c>
      <c r="M90" t="str">
        <f t="shared" si="11"/>
        <v/>
      </c>
    </row>
    <row r="91" spans="2:16" x14ac:dyDescent="0.25">
      <c r="D91" t="str">
        <f ca="1"/>
        <v/>
      </c>
      <c r="E91" t="str">
        <f ca="1"/>
        <v/>
      </c>
    </row>
    <row r="92" spans="2:16" x14ac:dyDescent="0.25">
      <c r="D92" t="str">
        <f ca="1"/>
        <v/>
      </c>
      <c r="E92" t="str">
        <f ca="1"/>
        <v/>
      </c>
    </row>
    <row r="93" spans="2:16" x14ac:dyDescent="0.25">
      <c r="D93" t="str">
        <f ca="1"/>
        <v/>
      </c>
      <c r="E93" t="str">
        <f ca="1"/>
        <v/>
      </c>
    </row>
    <row r="94" spans="2:16" x14ac:dyDescent="0.25">
      <c r="D94" t="str">
        <f ca="1"/>
        <v/>
      </c>
      <c r="E94" t="str">
        <f ca="1"/>
        <v/>
      </c>
    </row>
    <row r="95" spans="2:16" x14ac:dyDescent="0.25">
      <c r="D95" t="str">
        <f ca="1"/>
        <v/>
      </c>
      <c r="E95" t="str">
        <f ca="1"/>
        <v/>
      </c>
    </row>
    <row r="96" spans="2:16" x14ac:dyDescent="0.25">
      <c r="D96" t="str">
        <f ca="1"/>
        <v/>
      </c>
      <c r="E96" t="str">
        <f ca="1"/>
        <v/>
      </c>
    </row>
    <row r="97" spans="4:5" x14ac:dyDescent="0.25">
      <c r="D97" t="str">
        <f ca="1"/>
        <v/>
      </c>
      <c r="E97" t="str">
        <f ca="1"/>
        <v/>
      </c>
    </row>
    <row r="98" spans="4:5" x14ac:dyDescent="0.25">
      <c r="D98" t="str">
        <f ca="1"/>
        <v/>
      </c>
      <c r="E98" t="str">
        <f ca="1"/>
        <v/>
      </c>
    </row>
    <row r="99" spans="4:5" x14ac:dyDescent="0.25">
      <c r="D99" t="str">
        <f ca="1"/>
        <v/>
      </c>
      <c r="E99" t="str">
        <f ca="1"/>
        <v/>
      </c>
    </row>
    <row r="100" spans="4:5" x14ac:dyDescent="0.25">
      <c r="D100" t="str">
        <f ca="1"/>
        <v/>
      </c>
      <c r="E100" t="str">
        <f ca="1"/>
        <v/>
      </c>
    </row>
  </sheetData>
  <conditionalFormatting sqref="A2:R90">
    <cfRule type="expression" dxfId="6" priority="2">
      <formula>AND($F2&lt;&gt;1, $F2&lt;&gt;0)</formula>
    </cfRule>
    <cfRule type="expression" dxfId="5" priority="4">
      <formula>$F2=0</formula>
    </cfRule>
    <cfRule type="expression" dxfId="4" priority="5">
      <formula>$F2=1</formula>
    </cfRule>
  </conditionalFormatting>
  <conditionalFormatting sqref="G1:G1048576">
    <cfRule type="cellIs" dxfId="3" priority="1" operator="equal">
      <formula>1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42157-22E7-4958-90AB-53480A9D411F}">
  <sheetPr codeName="Sheet4">
    <tabColor rgb="FFFFFF00"/>
  </sheetPr>
  <dimension ref="A1:J7"/>
  <sheetViews>
    <sheetView workbookViewId="0"/>
  </sheetViews>
  <sheetFormatPr defaultRowHeight="15" x14ac:dyDescent="0.25"/>
  <cols>
    <col min="1" max="1" width="14.85546875" customWidth="1"/>
    <col min="2" max="2" width="25.28515625" customWidth="1"/>
    <col min="3" max="3" width="19.85546875" customWidth="1"/>
    <col min="4" max="4" width="23.28515625" customWidth="1"/>
    <col min="5" max="5" width="20.140625" customWidth="1"/>
    <col min="6" max="6" width="16.28515625" customWidth="1"/>
    <col min="10" max="10" width="20" hidden="1" customWidth="1"/>
  </cols>
  <sheetData>
    <row r="1" spans="1:10" x14ac:dyDescent="0.25">
      <c r="A1" s="20" t="s">
        <v>189</v>
      </c>
      <c r="B1" s="20" t="s">
        <v>179</v>
      </c>
      <c r="C1" s="20" t="s">
        <v>180</v>
      </c>
      <c r="D1" s="20" t="s">
        <v>181</v>
      </c>
      <c r="E1" s="126" t="s">
        <v>182</v>
      </c>
      <c r="F1" s="20" t="s">
        <v>183</v>
      </c>
      <c r="J1" s="3" t="s">
        <v>179</v>
      </c>
    </row>
    <row r="2" spans="1:10" x14ac:dyDescent="0.25">
      <c r="A2" t="s">
        <v>7</v>
      </c>
      <c r="B2" t="s">
        <v>184</v>
      </c>
      <c r="C2">
        <v>0</v>
      </c>
      <c r="D2">
        <v>0</v>
      </c>
      <c r="E2">
        <f>C2*D2</f>
        <v>0</v>
      </c>
      <c r="J2" t="s">
        <v>185</v>
      </c>
    </row>
    <row r="3" spans="1:10" x14ac:dyDescent="0.25">
      <c r="A3" t="s">
        <v>7</v>
      </c>
      <c r="B3" t="s">
        <v>184</v>
      </c>
      <c r="C3">
        <v>0</v>
      </c>
      <c r="D3">
        <v>0</v>
      </c>
      <c r="E3">
        <f>C3*D3</f>
        <v>0</v>
      </c>
      <c r="J3" t="s">
        <v>184</v>
      </c>
    </row>
    <row r="4" spans="1:10" x14ac:dyDescent="0.25">
      <c r="A4" t="s">
        <v>12</v>
      </c>
      <c r="B4" t="s">
        <v>186</v>
      </c>
      <c r="C4">
        <v>0</v>
      </c>
      <c r="D4">
        <v>0</v>
      </c>
      <c r="E4">
        <f>C4*D4</f>
        <v>0</v>
      </c>
      <c r="J4" t="s">
        <v>186</v>
      </c>
    </row>
    <row r="5" spans="1:10" x14ac:dyDescent="0.25">
      <c r="A5" t="s">
        <v>11</v>
      </c>
      <c r="B5" t="s">
        <v>186</v>
      </c>
      <c r="C5">
        <v>0</v>
      </c>
      <c r="D5">
        <v>0</v>
      </c>
      <c r="E5">
        <f>C5*D5</f>
        <v>0</v>
      </c>
      <c r="J5" t="s">
        <v>187</v>
      </c>
    </row>
    <row r="6" spans="1:10" x14ac:dyDescent="0.25">
      <c r="J6" t="s">
        <v>188</v>
      </c>
    </row>
    <row r="7" spans="1:10" x14ac:dyDescent="0.25">
      <c r="J7" t="s">
        <v>145</v>
      </c>
    </row>
  </sheetData>
  <dataValidations count="1">
    <dataValidation type="list" allowBlank="1" showInputMessage="1" showErrorMessage="1" sqref="B2:B23" xr:uid="{99B54277-2602-4443-8978-3988906B047B}">
      <formula1>$J$2:$J$7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B9F9C-4B1B-45CE-BDC0-FAAC2464D24B}">
  <sheetPr codeName="Sheet5">
    <tabColor rgb="FFFFFF00"/>
  </sheetPr>
  <dimension ref="A1:F92"/>
  <sheetViews>
    <sheetView workbookViewId="0"/>
  </sheetViews>
  <sheetFormatPr defaultRowHeight="15" x14ac:dyDescent="0.25"/>
  <cols>
    <col min="1" max="1" width="25.7109375" customWidth="1"/>
    <col min="2" max="2" width="33.85546875" customWidth="1"/>
    <col min="3" max="3" width="18.140625" customWidth="1"/>
    <col min="4" max="4" width="12.28515625" customWidth="1"/>
    <col min="6" max="6" width="15.28515625" customWidth="1"/>
  </cols>
  <sheetData>
    <row r="1" spans="1:6" ht="30" x14ac:dyDescent="0.25">
      <c r="A1" s="43" t="s">
        <v>56</v>
      </c>
      <c r="B1" s="43" t="s">
        <v>55</v>
      </c>
      <c r="C1" s="44" t="s">
        <v>62</v>
      </c>
      <c r="D1" s="45" t="s">
        <v>67</v>
      </c>
      <c r="E1" s="45" t="s">
        <v>68</v>
      </c>
      <c r="F1" s="43" t="s">
        <v>152</v>
      </c>
    </row>
    <row r="2" spans="1:6" x14ac:dyDescent="0.25">
      <c r="A2" s="13" t="s">
        <v>75</v>
      </c>
      <c r="B2" s="13" t="s">
        <v>74</v>
      </c>
      <c r="C2" s="13"/>
      <c r="D2" s="14">
        <v>32.042000000000002</v>
      </c>
      <c r="E2" s="15">
        <v>0.79200000000000004</v>
      </c>
      <c r="F2" t="s">
        <v>153</v>
      </c>
    </row>
    <row r="3" spans="1:6" x14ac:dyDescent="0.25">
      <c r="A3" s="13" t="s">
        <v>77</v>
      </c>
      <c r="B3" s="13" t="s">
        <v>76</v>
      </c>
      <c r="C3" s="13"/>
      <c r="D3" s="14">
        <v>60.1</v>
      </c>
      <c r="E3" s="15">
        <v>0.78600000000000003</v>
      </c>
      <c r="F3" t="s">
        <v>153</v>
      </c>
    </row>
    <row r="4" spans="1:6" x14ac:dyDescent="0.25">
      <c r="A4" s="13" t="s">
        <v>79</v>
      </c>
      <c r="B4" s="13" t="s">
        <v>78</v>
      </c>
      <c r="C4" s="13"/>
      <c r="D4" s="14">
        <v>92.14</v>
      </c>
      <c r="E4" s="15">
        <v>0.86699999999999999</v>
      </c>
      <c r="F4" t="s">
        <v>153</v>
      </c>
    </row>
    <row r="5" spans="1:6" x14ac:dyDescent="0.25">
      <c r="A5" s="13" t="s">
        <v>63</v>
      </c>
      <c r="B5" s="13" t="s">
        <v>80</v>
      </c>
      <c r="C5" s="13"/>
      <c r="D5" s="14">
        <v>18.015000000000001</v>
      </c>
      <c r="E5" s="15">
        <v>1</v>
      </c>
      <c r="F5" t="s">
        <v>153</v>
      </c>
    </row>
    <row r="6" spans="1:6" x14ac:dyDescent="0.25">
      <c r="A6" s="13" t="s">
        <v>82</v>
      </c>
      <c r="B6" s="13" t="s">
        <v>81</v>
      </c>
      <c r="C6" s="13"/>
      <c r="D6" s="14">
        <v>100.2</v>
      </c>
      <c r="E6" s="15">
        <v>0.68400000000000005</v>
      </c>
      <c r="F6" t="s">
        <v>153</v>
      </c>
    </row>
    <row r="7" spans="1:6" x14ac:dyDescent="0.25">
      <c r="A7" t="s">
        <v>84</v>
      </c>
      <c r="B7" t="s">
        <v>83</v>
      </c>
      <c r="D7" s="7">
        <v>46.067999999999998</v>
      </c>
      <c r="E7" s="7">
        <v>0.78900000000000003</v>
      </c>
      <c r="F7" t="s">
        <v>153</v>
      </c>
    </row>
    <row r="8" spans="1:6" x14ac:dyDescent="0.25">
      <c r="A8" t="s">
        <v>86</v>
      </c>
      <c r="B8" t="s">
        <v>85</v>
      </c>
      <c r="D8" s="7">
        <v>84.93</v>
      </c>
      <c r="E8" s="7">
        <v>1.33</v>
      </c>
      <c r="F8" t="s">
        <v>153</v>
      </c>
    </row>
    <row r="9" spans="1:6" x14ac:dyDescent="0.25">
      <c r="A9" t="s">
        <v>88</v>
      </c>
      <c r="B9" t="s">
        <v>87</v>
      </c>
      <c r="D9" s="7">
        <v>88.15</v>
      </c>
      <c r="E9" s="7">
        <v>0.74</v>
      </c>
      <c r="F9" t="s">
        <v>153</v>
      </c>
    </row>
    <row r="10" spans="1:6" x14ac:dyDescent="0.25">
      <c r="A10" t="s">
        <v>90</v>
      </c>
      <c r="B10" t="s">
        <v>89</v>
      </c>
      <c r="D10" s="7">
        <v>72.11</v>
      </c>
      <c r="E10" s="7">
        <v>0.81</v>
      </c>
      <c r="F10" t="s">
        <v>153</v>
      </c>
    </row>
    <row r="11" spans="1:6" x14ac:dyDescent="0.25">
      <c r="A11" t="s">
        <v>92</v>
      </c>
      <c r="B11" s="13" t="s">
        <v>91</v>
      </c>
      <c r="D11" s="7">
        <v>73.09</v>
      </c>
      <c r="E11" s="7">
        <v>0.95</v>
      </c>
      <c r="F11" t="s">
        <v>153</v>
      </c>
    </row>
    <row r="12" spans="1:6" x14ac:dyDescent="0.25">
      <c r="A12" t="s">
        <v>94</v>
      </c>
      <c r="B12" s="13" t="s">
        <v>93</v>
      </c>
      <c r="D12" s="7">
        <v>41.05</v>
      </c>
      <c r="E12" s="7">
        <v>0.78600000000000003</v>
      </c>
      <c r="F12" t="s">
        <v>153</v>
      </c>
    </row>
    <row r="13" spans="1:6" x14ac:dyDescent="0.25">
      <c r="A13" t="s">
        <v>96</v>
      </c>
      <c r="B13" s="13" t="s">
        <v>95</v>
      </c>
      <c r="D13" s="7">
        <v>88.11</v>
      </c>
      <c r="E13" s="7">
        <v>0.90200000000000002</v>
      </c>
      <c r="F13" t="s">
        <v>153</v>
      </c>
    </row>
    <row r="14" spans="1:6" x14ac:dyDescent="0.25">
      <c r="A14" t="s">
        <v>98</v>
      </c>
      <c r="B14" s="13" t="s">
        <v>97</v>
      </c>
      <c r="D14" s="7">
        <v>88.11</v>
      </c>
      <c r="E14" s="7">
        <v>1.03</v>
      </c>
      <c r="F14" t="s">
        <v>153</v>
      </c>
    </row>
    <row r="15" spans="1:6" x14ac:dyDescent="0.25">
      <c r="A15" s="13" t="s">
        <v>99</v>
      </c>
      <c r="B15" s="13" t="s">
        <v>23</v>
      </c>
      <c r="C15" s="13"/>
      <c r="D15" s="14">
        <v>72.11</v>
      </c>
      <c r="E15" s="15">
        <v>0.88800000000000001</v>
      </c>
      <c r="F15" t="s">
        <v>153</v>
      </c>
    </row>
    <row r="16" spans="1:6" x14ac:dyDescent="0.25">
      <c r="A16" s="13" t="s">
        <v>101</v>
      </c>
      <c r="B16" s="13" t="s">
        <v>100</v>
      </c>
      <c r="C16" s="13"/>
      <c r="D16" s="14">
        <v>142.04</v>
      </c>
      <c r="E16" s="16"/>
      <c r="F16" t="s">
        <v>154</v>
      </c>
    </row>
    <row r="17" spans="1:6" x14ac:dyDescent="0.25">
      <c r="A17" s="13" t="s">
        <v>103</v>
      </c>
      <c r="B17" s="13" t="s">
        <v>102</v>
      </c>
      <c r="C17" s="13"/>
      <c r="D17" s="14">
        <v>58.44</v>
      </c>
      <c r="E17" s="16"/>
      <c r="F17" t="s">
        <v>154</v>
      </c>
    </row>
    <row r="18" spans="1:6" x14ac:dyDescent="0.25">
      <c r="A18" s="13" t="s">
        <v>105</v>
      </c>
      <c r="B18" s="17" t="s">
        <v>104</v>
      </c>
      <c r="C18" s="13"/>
      <c r="D18" s="14">
        <v>138.20500000000001</v>
      </c>
      <c r="E18" s="16"/>
      <c r="F18" t="s">
        <v>154</v>
      </c>
    </row>
    <row r="19" spans="1:6" x14ac:dyDescent="0.25">
      <c r="A19" s="13" t="s">
        <v>107</v>
      </c>
      <c r="B19" t="s">
        <v>106</v>
      </c>
      <c r="D19" s="7">
        <v>112.21</v>
      </c>
      <c r="E19" s="16"/>
      <c r="F19" t="s">
        <v>154</v>
      </c>
    </row>
    <row r="20" spans="1:6" ht="18" x14ac:dyDescent="0.35">
      <c r="A20" s="13" t="s">
        <v>109</v>
      </c>
      <c r="B20" s="13" t="s">
        <v>108</v>
      </c>
      <c r="C20" s="13" t="s">
        <v>110</v>
      </c>
      <c r="D20" s="14">
        <v>68.995000000000005</v>
      </c>
      <c r="E20" s="16"/>
      <c r="F20" t="s">
        <v>154</v>
      </c>
    </row>
    <row r="21" spans="1:6" ht="18" x14ac:dyDescent="0.35">
      <c r="A21" t="s">
        <v>112</v>
      </c>
      <c r="B21" s="13" t="s">
        <v>111</v>
      </c>
      <c r="C21" t="s">
        <v>113</v>
      </c>
      <c r="D21" s="7">
        <v>84.007000000000005</v>
      </c>
      <c r="E21" s="7"/>
      <c r="F21" t="s">
        <v>154</v>
      </c>
    </row>
    <row r="22" spans="1:6" x14ac:dyDescent="0.25">
      <c r="A22" t="s">
        <v>115</v>
      </c>
      <c r="B22" s="13" t="s">
        <v>114</v>
      </c>
      <c r="C22" t="s">
        <v>116</v>
      </c>
      <c r="D22" s="7">
        <v>86.9</v>
      </c>
      <c r="E22" s="7"/>
      <c r="F22" t="s">
        <v>154</v>
      </c>
    </row>
    <row r="23" spans="1:6" x14ac:dyDescent="0.25">
      <c r="A23" t="s">
        <v>118</v>
      </c>
      <c r="B23" s="13" t="s">
        <v>117</v>
      </c>
      <c r="D23" s="7">
        <v>102.89</v>
      </c>
      <c r="E23" s="7"/>
      <c r="F23" t="s">
        <v>154</v>
      </c>
    </row>
    <row r="24" spans="1:6" x14ac:dyDescent="0.25">
      <c r="A24" s="13" t="s">
        <v>120</v>
      </c>
      <c r="B24" s="13" t="s">
        <v>119</v>
      </c>
      <c r="C24" s="13" t="s">
        <v>121</v>
      </c>
      <c r="D24" s="14">
        <v>110.98</v>
      </c>
      <c r="E24" s="15"/>
      <c r="F24" t="s">
        <v>154</v>
      </c>
    </row>
    <row r="25" spans="1:6" x14ac:dyDescent="0.25">
      <c r="A25" t="s">
        <v>123</v>
      </c>
      <c r="B25" s="13" t="s">
        <v>122</v>
      </c>
      <c r="C25" t="s">
        <v>124</v>
      </c>
      <c r="D25" s="7">
        <v>120.37</v>
      </c>
      <c r="E25" s="15"/>
      <c r="F25" t="s">
        <v>154</v>
      </c>
    </row>
    <row r="26" spans="1:6" x14ac:dyDescent="0.25">
      <c r="A26" s="13" t="s">
        <v>126</v>
      </c>
      <c r="B26" s="13" t="s">
        <v>125</v>
      </c>
      <c r="C26" s="13"/>
      <c r="D26" s="14">
        <v>39.997</v>
      </c>
      <c r="E26" s="7"/>
      <c r="F26" t="s">
        <v>156</v>
      </c>
    </row>
    <row r="27" spans="1:6" ht="18" x14ac:dyDescent="0.35">
      <c r="A27" t="s">
        <v>128</v>
      </c>
      <c r="B27" s="13" t="s">
        <v>127</v>
      </c>
      <c r="D27" s="7">
        <v>101.19</v>
      </c>
      <c r="E27" s="7">
        <v>0.72799999999999998</v>
      </c>
      <c r="F27" t="s">
        <v>156</v>
      </c>
    </row>
    <row r="28" spans="1:6" x14ac:dyDescent="0.25">
      <c r="A28" t="s">
        <v>130</v>
      </c>
      <c r="B28" s="13" t="s">
        <v>129</v>
      </c>
      <c r="D28" s="7">
        <v>129.24</v>
      </c>
      <c r="E28" s="7">
        <v>0.74199999999999999</v>
      </c>
      <c r="F28" t="s">
        <v>156</v>
      </c>
    </row>
    <row r="29" spans="1:6" x14ac:dyDescent="0.25">
      <c r="A29" s="13" t="s">
        <v>132</v>
      </c>
      <c r="B29" s="13" t="s">
        <v>131</v>
      </c>
      <c r="C29" s="13"/>
      <c r="D29" s="14">
        <v>192.12</v>
      </c>
      <c r="E29" s="16"/>
      <c r="F29" t="s">
        <v>155</v>
      </c>
    </row>
    <row r="30" spans="1:6" x14ac:dyDescent="0.25">
      <c r="A30" s="13" t="s">
        <v>134</v>
      </c>
      <c r="B30" s="13" t="s">
        <v>133</v>
      </c>
      <c r="C30" s="13"/>
      <c r="D30" s="14">
        <v>36.46</v>
      </c>
      <c r="E30" s="7">
        <v>1.2</v>
      </c>
      <c r="F30" t="s">
        <v>155</v>
      </c>
    </row>
    <row r="31" spans="1:6" x14ac:dyDescent="0.25">
      <c r="A31" t="s">
        <v>136</v>
      </c>
      <c r="B31" t="s">
        <v>135</v>
      </c>
      <c r="D31" s="7">
        <v>98.08</v>
      </c>
      <c r="E31" s="7">
        <v>1.8</v>
      </c>
      <c r="F31" t="s">
        <v>155</v>
      </c>
    </row>
    <row r="32" spans="1:6" x14ac:dyDescent="0.25">
      <c r="A32" t="s">
        <v>138</v>
      </c>
      <c r="B32" s="13" t="s">
        <v>137</v>
      </c>
      <c r="D32" s="7">
        <v>96.11</v>
      </c>
      <c r="E32" s="7">
        <v>1.4810000000000001</v>
      </c>
      <c r="F32" t="s">
        <v>155</v>
      </c>
    </row>
    <row r="33" spans="1:6" x14ac:dyDescent="0.25">
      <c r="A33" s="18" t="s">
        <v>140</v>
      </c>
      <c r="B33" s="18" t="s">
        <v>139</v>
      </c>
      <c r="C33" s="18"/>
      <c r="D33" s="19">
        <v>114.02</v>
      </c>
      <c r="E33" s="19">
        <v>1.5</v>
      </c>
      <c r="F33" t="s">
        <v>155</v>
      </c>
    </row>
    <row r="34" spans="1:6" x14ac:dyDescent="0.25">
      <c r="A34" s="13" t="s">
        <v>142</v>
      </c>
      <c r="B34" s="13" t="s">
        <v>141</v>
      </c>
      <c r="C34" s="13"/>
      <c r="D34" s="14">
        <v>2.016</v>
      </c>
      <c r="E34" s="16"/>
      <c r="F34" t="s">
        <v>157</v>
      </c>
    </row>
    <row r="35" spans="1:6" x14ac:dyDescent="0.25">
      <c r="A35" s="13" t="s">
        <v>144</v>
      </c>
      <c r="B35" s="13" t="s">
        <v>143</v>
      </c>
      <c r="D35" s="7">
        <v>28.013999999999999</v>
      </c>
      <c r="E35" s="16"/>
      <c r="F35" t="s">
        <v>157</v>
      </c>
    </row>
    <row r="36" spans="1:6" x14ac:dyDescent="0.25">
      <c r="A36" s="13" t="s">
        <v>147</v>
      </c>
      <c r="B36" s="13" t="s">
        <v>146</v>
      </c>
      <c r="C36" s="13"/>
      <c r="D36" s="14">
        <v>270.19299999999998</v>
      </c>
      <c r="E36" s="16"/>
      <c r="F36" t="s">
        <v>145</v>
      </c>
    </row>
    <row r="37" spans="1:6" x14ac:dyDescent="0.25">
      <c r="A37" t="s">
        <v>149</v>
      </c>
      <c r="B37" t="s">
        <v>148</v>
      </c>
      <c r="D37" s="7">
        <v>37.840000000000003</v>
      </c>
      <c r="E37" s="16"/>
      <c r="F37" t="s">
        <v>145</v>
      </c>
    </row>
    <row r="38" spans="1:6" ht="18" x14ac:dyDescent="0.35">
      <c r="A38" s="4" t="s">
        <v>151</v>
      </c>
      <c r="B38" t="s">
        <v>150</v>
      </c>
      <c r="D38" s="7">
        <v>174.2</v>
      </c>
      <c r="E38" s="7"/>
      <c r="F38" t="s">
        <v>145</v>
      </c>
    </row>
    <row r="40" spans="1:6" x14ac:dyDescent="0.25">
      <c r="D40" s="7"/>
      <c r="E40" s="16"/>
    </row>
    <row r="41" spans="1:6" x14ac:dyDescent="0.25">
      <c r="D41" s="7"/>
      <c r="E41" s="16"/>
    </row>
    <row r="42" spans="1:6" x14ac:dyDescent="0.25">
      <c r="D42" s="7"/>
      <c r="E42" s="16"/>
    </row>
    <row r="43" spans="1:6" x14ac:dyDescent="0.25">
      <c r="D43" s="7"/>
      <c r="E43" s="16"/>
    </row>
    <row r="44" spans="1:6" x14ac:dyDescent="0.25">
      <c r="D44" s="7"/>
      <c r="E44" s="16"/>
    </row>
    <row r="45" spans="1:6" x14ac:dyDescent="0.25">
      <c r="D45" s="7"/>
      <c r="E45" s="16"/>
    </row>
    <row r="46" spans="1:6" x14ac:dyDescent="0.25">
      <c r="D46" s="7"/>
      <c r="E46" s="16"/>
    </row>
    <row r="47" spans="1:6" x14ac:dyDescent="0.25">
      <c r="D47" s="7"/>
      <c r="E47" s="16"/>
    </row>
    <row r="48" spans="1:6" x14ac:dyDescent="0.25">
      <c r="D48" s="7"/>
      <c r="E48" s="16"/>
    </row>
    <row r="49" spans="4:5" x14ac:dyDescent="0.25">
      <c r="D49" s="7"/>
      <c r="E49" s="16"/>
    </row>
    <row r="50" spans="4:5" x14ac:dyDescent="0.25">
      <c r="D50" s="7"/>
      <c r="E50" s="16"/>
    </row>
    <row r="51" spans="4:5" x14ac:dyDescent="0.25">
      <c r="D51" s="7"/>
      <c r="E51" s="16"/>
    </row>
    <row r="52" spans="4:5" x14ac:dyDescent="0.25">
      <c r="D52" s="7"/>
      <c r="E52" s="16"/>
    </row>
    <row r="53" spans="4:5" x14ac:dyDescent="0.25">
      <c r="D53" s="7"/>
      <c r="E53" s="16"/>
    </row>
    <row r="54" spans="4:5" x14ac:dyDescent="0.25">
      <c r="D54" s="7"/>
      <c r="E54" s="16"/>
    </row>
    <row r="55" spans="4:5" x14ac:dyDescent="0.25">
      <c r="D55" s="7"/>
      <c r="E55" s="16"/>
    </row>
    <row r="56" spans="4:5" x14ac:dyDescent="0.25">
      <c r="D56" s="7"/>
      <c r="E56" s="16"/>
    </row>
    <row r="57" spans="4:5" x14ac:dyDescent="0.25">
      <c r="D57" s="7"/>
      <c r="E57" s="16"/>
    </row>
    <row r="58" spans="4:5" x14ac:dyDescent="0.25">
      <c r="D58" s="7"/>
      <c r="E58" s="16"/>
    </row>
    <row r="59" spans="4:5" x14ac:dyDescent="0.25">
      <c r="D59" s="7"/>
      <c r="E59" s="16"/>
    </row>
    <row r="60" spans="4:5" x14ac:dyDescent="0.25">
      <c r="D60" s="7"/>
      <c r="E60" s="16"/>
    </row>
    <row r="61" spans="4:5" x14ac:dyDescent="0.25">
      <c r="D61" s="7"/>
      <c r="E61" s="16"/>
    </row>
    <row r="62" spans="4:5" x14ac:dyDescent="0.25">
      <c r="D62" s="7"/>
      <c r="E62" s="16"/>
    </row>
    <row r="63" spans="4:5" x14ac:dyDescent="0.25">
      <c r="D63" s="7"/>
      <c r="E63" s="16"/>
    </row>
    <row r="64" spans="4:5" x14ac:dyDescent="0.25">
      <c r="D64" s="7"/>
      <c r="E64" s="16"/>
    </row>
    <row r="65" spans="4:5" x14ac:dyDescent="0.25">
      <c r="D65" s="7"/>
      <c r="E65" s="16"/>
    </row>
    <row r="66" spans="4:5" x14ac:dyDescent="0.25">
      <c r="D66" s="7"/>
      <c r="E66" s="16"/>
    </row>
    <row r="67" spans="4:5" x14ac:dyDescent="0.25">
      <c r="D67" s="7"/>
      <c r="E67" s="16"/>
    </row>
    <row r="68" spans="4:5" x14ac:dyDescent="0.25">
      <c r="D68" s="7"/>
      <c r="E68" s="16"/>
    </row>
    <row r="69" spans="4:5" x14ac:dyDescent="0.25">
      <c r="D69" s="7"/>
      <c r="E69" s="16"/>
    </row>
    <row r="70" spans="4:5" x14ac:dyDescent="0.25">
      <c r="D70" s="7"/>
      <c r="E70" s="16"/>
    </row>
    <row r="71" spans="4:5" x14ac:dyDescent="0.25">
      <c r="D71" s="7"/>
      <c r="E71" s="16"/>
    </row>
    <row r="72" spans="4:5" x14ac:dyDescent="0.25">
      <c r="D72" s="7"/>
      <c r="E72" s="16"/>
    </row>
    <row r="73" spans="4:5" x14ac:dyDescent="0.25">
      <c r="D73" s="7"/>
      <c r="E73" s="16"/>
    </row>
    <row r="74" spans="4:5" x14ac:dyDescent="0.25">
      <c r="D74" s="7"/>
      <c r="E74" s="16"/>
    </row>
    <row r="75" spans="4:5" x14ac:dyDescent="0.25">
      <c r="D75" s="7"/>
      <c r="E75" s="16"/>
    </row>
    <row r="76" spans="4:5" x14ac:dyDescent="0.25">
      <c r="D76" s="7"/>
      <c r="E76" s="16"/>
    </row>
    <row r="77" spans="4:5" x14ac:dyDescent="0.25">
      <c r="D77" s="7"/>
      <c r="E77" s="16"/>
    </row>
    <row r="78" spans="4:5" x14ac:dyDescent="0.25">
      <c r="D78" s="7"/>
      <c r="E78" s="16"/>
    </row>
    <row r="79" spans="4:5" x14ac:dyDescent="0.25">
      <c r="D79" s="7"/>
      <c r="E79" s="16"/>
    </row>
    <row r="80" spans="4:5" x14ac:dyDescent="0.25">
      <c r="D80" s="7"/>
      <c r="E80" s="16"/>
    </row>
    <row r="81" spans="4:5" x14ac:dyDescent="0.25">
      <c r="D81" s="7"/>
      <c r="E81" s="16"/>
    </row>
    <row r="82" spans="4:5" x14ac:dyDescent="0.25">
      <c r="D82" s="7"/>
      <c r="E82" s="16"/>
    </row>
    <row r="83" spans="4:5" x14ac:dyDescent="0.25">
      <c r="D83" s="7"/>
      <c r="E83" s="16"/>
    </row>
    <row r="84" spans="4:5" x14ac:dyDescent="0.25">
      <c r="D84" s="7"/>
      <c r="E84" s="16"/>
    </row>
    <row r="85" spans="4:5" x14ac:dyDescent="0.25">
      <c r="D85" s="7"/>
      <c r="E85" s="16"/>
    </row>
    <row r="86" spans="4:5" x14ac:dyDescent="0.25">
      <c r="D86" s="7"/>
      <c r="E86" s="16"/>
    </row>
    <row r="87" spans="4:5" x14ac:dyDescent="0.25">
      <c r="D87" s="7"/>
      <c r="E87" s="16"/>
    </row>
    <row r="88" spans="4:5" x14ac:dyDescent="0.25">
      <c r="D88" s="7"/>
      <c r="E88" s="16"/>
    </row>
    <row r="89" spans="4:5" x14ac:dyDescent="0.25">
      <c r="D89" s="7"/>
      <c r="E89" s="16"/>
    </row>
    <row r="90" spans="4:5" x14ac:dyDescent="0.25">
      <c r="D90" s="7"/>
      <c r="E90" s="16"/>
    </row>
    <row r="91" spans="4:5" x14ac:dyDescent="0.25">
      <c r="D91" s="7"/>
      <c r="E91" s="16"/>
    </row>
    <row r="92" spans="4:5" x14ac:dyDescent="0.25">
      <c r="D92" s="7"/>
      <c r="E92" s="16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73906-8892-4B0D-8BC1-75D8C948B31E}">
  <sheetPr codeName="Sheet8">
    <tabColor rgb="FFFFFF00"/>
  </sheetPr>
  <dimension ref="A1:AO55"/>
  <sheetViews>
    <sheetView workbookViewId="0"/>
  </sheetViews>
  <sheetFormatPr defaultRowHeight="15" x14ac:dyDescent="0.25"/>
  <cols>
    <col min="6" max="6" width="27.7109375" customWidth="1"/>
    <col min="8" max="8" width="13.85546875" customWidth="1"/>
    <col min="11" max="11" width="11.42578125" customWidth="1"/>
    <col min="17" max="17" width="14.28515625" customWidth="1"/>
    <col min="18" max="18" width="9.28515625" customWidth="1"/>
    <col min="39" max="39" width="12" customWidth="1"/>
  </cols>
  <sheetData>
    <row r="1" spans="1:41" ht="135.75" thickBot="1" x14ac:dyDescent="0.3">
      <c r="A1" s="87" t="s">
        <v>14</v>
      </c>
      <c r="B1" s="88" t="s">
        <v>172</v>
      </c>
      <c r="C1" s="89" t="s">
        <v>0</v>
      </c>
      <c r="D1" s="89" t="s">
        <v>1</v>
      </c>
      <c r="E1" s="89" t="s">
        <v>2</v>
      </c>
      <c r="F1" s="89" t="s">
        <v>171</v>
      </c>
      <c r="G1" s="90" t="s">
        <v>173</v>
      </c>
      <c r="H1" s="90" t="s">
        <v>67</v>
      </c>
      <c r="I1" s="90" t="s">
        <v>68</v>
      </c>
      <c r="J1" s="91" t="s">
        <v>57</v>
      </c>
      <c r="K1" s="91" t="s">
        <v>58</v>
      </c>
      <c r="L1" s="91" t="s">
        <v>71</v>
      </c>
      <c r="M1" s="91" t="s">
        <v>169</v>
      </c>
      <c r="N1" s="91" t="s">
        <v>168</v>
      </c>
      <c r="O1" s="92" t="s">
        <v>167</v>
      </c>
      <c r="P1" s="93" t="s">
        <v>190</v>
      </c>
      <c r="Q1" s="94" t="s">
        <v>194</v>
      </c>
      <c r="R1" s="95" t="s">
        <v>193</v>
      </c>
      <c r="S1" s="96" t="s">
        <v>59</v>
      </c>
      <c r="T1" s="97" t="s">
        <v>64</v>
      </c>
      <c r="U1" s="98" t="s">
        <v>191</v>
      </c>
      <c r="V1" s="99" t="s">
        <v>192</v>
      </c>
      <c r="W1" s="100" t="s">
        <v>195</v>
      </c>
      <c r="X1" s="100" t="s">
        <v>196</v>
      </c>
      <c r="Y1" s="101" t="s">
        <v>201</v>
      </c>
      <c r="Z1" s="101" t="s">
        <v>177</v>
      </c>
      <c r="AA1" s="102" t="s">
        <v>161</v>
      </c>
      <c r="AB1" s="101" t="s">
        <v>217</v>
      </c>
      <c r="AC1" s="103" t="s">
        <v>218</v>
      </c>
      <c r="AD1" s="101" t="s">
        <v>197</v>
      </c>
      <c r="AE1" s="101" t="s">
        <v>198</v>
      </c>
      <c r="AF1" s="104" t="s">
        <v>176</v>
      </c>
      <c r="AG1" s="104" t="s">
        <v>178</v>
      </c>
      <c r="AH1" s="105" t="s">
        <v>162</v>
      </c>
      <c r="AI1" s="104" t="s">
        <v>216</v>
      </c>
      <c r="AJ1" s="104" t="s">
        <v>215</v>
      </c>
      <c r="AK1" s="106" t="s">
        <v>199</v>
      </c>
      <c r="AL1" s="107" t="s">
        <v>200</v>
      </c>
      <c r="AM1" s="108" t="s">
        <v>8</v>
      </c>
      <c r="AN1" s="109" t="s">
        <v>65</v>
      </c>
      <c r="AO1" s="110" t="s">
        <v>66</v>
      </c>
    </row>
    <row r="2" spans="1:41" x14ac:dyDescent="0.25">
      <c r="A2" s="111" t="s">
        <v>13</v>
      </c>
      <c r="B2" s="85" t="s">
        <v>15</v>
      </c>
      <c r="C2" s="85"/>
      <c r="D2" s="85" t="s">
        <v>15</v>
      </c>
      <c r="E2" s="85" t="s">
        <v>21</v>
      </c>
      <c r="F2" s="85"/>
      <c r="G2" s="77"/>
      <c r="H2" s="112">
        <v>189</v>
      </c>
      <c r="I2" s="112"/>
      <c r="J2" s="112"/>
      <c r="K2" s="112"/>
      <c r="L2" s="78"/>
      <c r="M2" s="78"/>
      <c r="N2" s="78"/>
      <c r="O2" s="112"/>
      <c r="P2" s="78">
        <f>SUMIFS('Product samples'!E:E, 'Product samples'!A:A, B2)</f>
        <v>0</v>
      </c>
      <c r="Q2" s="79">
        <f>IFERROR((P2/1000)/H2,0)</f>
        <v>0</v>
      </c>
      <c r="R2" s="80" t="str">
        <f>IFERROR(IF(G2="",VLOOKUP(C2,$B$1:$W$100,22,FALSE),VLOOKUP(C2,$B$1:$W$100,22,FALSE)*(G2/VLOOKUP(C2,$B$1:$X$100,23,FALSE))),"")</f>
        <v/>
      </c>
      <c r="S2" s="81" t="str">
        <f>IFERROR(IF(G2="",VLOOKUP(C2,$B$1:$X$100,23,FALSE),VLOOKUP(C2,$B$1:$X$100,23,FALSE)*(G2/VLOOKUP(C2,$B$1:$X$100,23,FALSE))),"")</f>
        <v/>
      </c>
      <c r="T2" s="82">
        <f t="shared" ref="T2:T55" si="0">IF(AM2&lt;&gt;"",AM2/H2,IF(AND(C2=D2,C2&lt;&gt;""),R2,IF(O2&lt;&gt;"",O2*R2,IF(J2&lt;&gt;"",J2*R2,""))))</f>
        <v>2.6455026455026454E-2</v>
      </c>
      <c r="U2" s="83">
        <f>IF(AND(H2&lt;&gt;"",T2&lt;&gt;""),T2*H2,IF(L2&lt;&gt;"",S2*L2,""))</f>
        <v>5</v>
      </c>
      <c r="V2" s="81" t="str">
        <f>IFERROR(IF(AND(U2&lt;&gt;"",I2&lt;&gt;""),U2/I2,IF(AND(S2&lt;&gt;"",K2&lt;&gt;""),K2*S2,"")),"")</f>
        <v/>
      </c>
      <c r="W2" s="81">
        <f>IFERROR(IF(B2&lt;&gt;"",T2-Q2,""),"")</f>
        <v>2.6455026455026454E-2</v>
      </c>
      <c r="X2" s="81">
        <f>IFERROR(IF(B2&lt;&gt;"",U2-(P2/1000),""),"")</f>
        <v>5</v>
      </c>
      <c r="Y2" s="81" t="str">
        <f>IFERROR(IF(G2="",VLOOKUP(C2,$B$1:$AD$100,29,FALSE),VLOOKUP(C2,$B$1:$AD$100,29,FALSE)*(G2/VLOOKUP(C2,$B$1:$AE$100,30,FALSE))),"")</f>
        <v/>
      </c>
      <c r="Z2" s="81" t="str">
        <f>IFERROR(IF(G2="",VLOOKUP(C2,$B$1:$AE$100,30,FALSE),VLOOKUP(C2,$B$1:$AE$100,30,FALSE)*(G2/VLOOKUP(C2,$B$1:$AE$100,30,FALSE))),"")</f>
        <v/>
      </c>
      <c r="AA2" s="84">
        <f>IF(AM2&lt;&gt;"",AM2/H2,IF(AND(C2=D2,C2&lt;&gt;""),Y2,IF(M2&lt;&gt;"",M2*Y2,IF(J2&lt;&gt;"",J2*Y2,""))))</f>
        <v>2.6455026455026454E-2</v>
      </c>
      <c r="AB2" s="81">
        <f>IF(AND(H2&lt;&gt;"",AA2&lt;&gt;""),AA2*H2,IF(L2&lt;&gt;"",Z2*L2,""))</f>
        <v>5</v>
      </c>
      <c r="AC2" s="81" t="str">
        <f>IFERROR(IF(AND(AB2&lt;&gt;"",I2&lt;&gt;""),AB2/I2,IF(AND(Z2&lt;&gt;"",K2&lt;&gt;""),K2*Z2,"")),"")</f>
        <v/>
      </c>
      <c r="AD2" s="81">
        <f>IFERROR(IF(B2&lt;&gt;"",AA2-Q2,""),"")</f>
        <v>2.6455026455026454E-2</v>
      </c>
      <c r="AE2" s="81">
        <f>IFERROR(IF(B2&lt;&gt;"",AB2-(P2/1000),""),"")</f>
        <v>5</v>
      </c>
      <c r="AF2" s="81" t="str">
        <f>IFERROR(IF(G2="",VLOOKUP(C2,$B$1:$AK$100,36,FALSE),VLOOKUP(C2,$B$1:$AK$100,36,FALSE)*(G2/VLOOKUP(C2,$B$1:$AL$100,37,FALSE))),"")</f>
        <v/>
      </c>
      <c r="AG2" s="81" t="str">
        <f>IFERROR(IF(G2="",VLOOKUP(C2,$B$1:$AL$100,37,FALSE),VLOOKUP(C2,$B$1:$AL$100,37,FALSE)*(G2/VLOOKUP(C2,$B$1:$AL$100,37,FALSE))),"")</f>
        <v/>
      </c>
      <c r="AH2" s="84">
        <f>IF(AM2&lt;&gt;"",AM2/H2,IF(AND(C2=D2,C2&lt;&gt;""),AF2,IF(N2&lt;&gt;"",N2*AF2,IF(J2&lt;&gt;"",J2*AF2,""))))</f>
        <v>2.6455026455026454E-2</v>
      </c>
      <c r="AI2" s="81">
        <f>IF(AND(H2&lt;&gt;"",AH2&lt;&gt;""),AH2*H2,IF(L2&lt;&gt;"",AG2*L2,""))</f>
        <v>5</v>
      </c>
      <c r="AJ2" s="81" t="str">
        <f>IFERROR(IF(AND(AI2&lt;&gt;"",I2&lt;&gt;""),AI2/I2,IF(AND(AG2&lt;&gt;"",K2&lt;&gt;""),K2*AG2,"")),"")</f>
        <v/>
      </c>
      <c r="AK2" s="81">
        <f>IFERROR(IF(B2&lt;&gt;"",AH2-Q2,""),"")</f>
        <v>2.6455026455026454E-2</v>
      </c>
      <c r="AL2" s="81">
        <f>IFERROR(IF(B2&lt;&gt;"",AI2-(P2/1000),""),"")</f>
        <v>5</v>
      </c>
      <c r="AM2" s="85">
        <v>5</v>
      </c>
      <c r="AN2" s="60"/>
      <c r="AO2" s="63"/>
    </row>
    <row r="3" spans="1:41" x14ac:dyDescent="0.25">
      <c r="A3" s="61" t="s">
        <v>3</v>
      </c>
      <c r="B3" s="59" t="s">
        <v>4</v>
      </c>
      <c r="C3" s="59" t="s">
        <v>15</v>
      </c>
      <c r="D3" s="59" t="s">
        <v>16</v>
      </c>
      <c r="E3" s="59"/>
      <c r="F3" s="59"/>
      <c r="G3" s="77"/>
      <c r="H3" s="113"/>
      <c r="I3" s="113"/>
      <c r="J3" s="113"/>
      <c r="K3" s="113"/>
      <c r="L3" s="86">
        <v>2</v>
      </c>
      <c r="M3" s="86"/>
      <c r="N3" s="86"/>
      <c r="O3" s="113"/>
      <c r="P3" s="78">
        <f>SUMIFS('Product samples'!E:E, 'Product samples'!A:A, B3)</f>
        <v>0</v>
      </c>
      <c r="Q3" s="79">
        <f t="shared" ref="Q3:Q55" si="1">IFERROR((P3/1000)/H3,0)</f>
        <v>0</v>
      </c>
      <c r="R3" s="80">
        <f t="shared" ref="R3:R55" si="2">IFERROR(IF(G3="",VLOOKUP(C3,$B$1:$W$100,22,FALSE),VLOOKUP(C3,$B$1:$W$100,22,FALSE)*(G3/VLOOKUP(C3,$B$1:$X$100,23,FALSE))),"")</f>
        <v>2.6455026455026454E-2</v>
      </c>
      <c r="S3" s="81">
        <f t="shared" ref="S3:S55" si="3">IFERROR(IF(G3="",VLOOKUP(C3,$B$1:$X$100,23,FALSE),VLOOKUP(C3,$B$1:$X$100,23,FALSE)*(G3/VLOOKUP(C3,$B$1:$X$100,23,FALSE))),"")</f>
        <v>5</v>
      </c>
      <c r="T3" s="82" t="str">
        <f t="shared" si="0"/>
        <v/>
      </c>
      <c r="U3" s="83">
        <f t="shared" ref="U3:U55" si="4">IF(AND(H3&lt;&gt;"",T3&lt;&gt;""),T3*H3,IF(L3&lt;&gt;"",S3*L3,""))</f>
        <v>10</v>
      </c>
      <c r="V3" s="81" t="str">
        <f t="shared" ref="V3:V55" si="5">IFERROR(IF(AND(U3&lt;&gt;"",I3&lt;&gt;""),U3/I3,IF(AND(S3&lt;&gt;"",K3&lt;&gt;""),K3*S3,"")),"")</f>
        <v/>
      </c>
      <c r="W3" s="81" t="str">
        <f t="shared" ref="W3:W55" si="6">IFERROR(IF(B3&lt;&gt;"",T3-Q3,""),"")</f>
        <v/>
      </c>
      <c r="X3" s="81">
        <f t="shared" ref="X3:X55" si="7">IFERROR(IF(B3&lt;&gt;"",U3-(P3/1000),""),"")</f>
        <v>10</v>
      </c>
      <c r="Y3" s="81">
        <f t="shared" ref="Y3:Y55" si="8">IFERROR(IF(G3="",VLOOKUP(C3,$B$1:$AD$100,29,FALSE),VLOOKUP(C3,$B$1:$AD$100,29,FALSE)*(G3/VLOOKUP(C3,$B$1:$AE$100,30,FALSE))),"")</f>
        <v>2.6455026455026454E-2</v>
      </c>
      <c r="Z3" s="81">
        <f t="shared" ref="Z3:Z55" si="9">IFERROR(IF(G3="",VLOOKUP(C3,$B$1:$AE$100,30,FALSE),VLOOKUP(C3,$B$1:$AE$100,30,FALSE)*(G3/VLOOKUP(C3,$B$1:$AE$100,30,FALSE))),"")</f>
        <v>5</v>
      </c>
      <c r="AA3" s="84" t="str">
        <f t="shared" ref="AA3:AA55" si="10">IF(AM3&lt;&gt;"",AM3/H3,IF(AND(C3=D3,C3&lt;&gt;""),Y3,IF(M3&lt;&gt;"",M3*Y3,IF(J3&lt;&gt;"",J3*Y3,""))))</f>
        <v/>
      </c>
      <c r="AB3" s="81">
        <f t="shared" ref="AB3:AB55" si="11">IF(AND(H3&lt;&gt;"",AA3&lt;&gt;""),AA3*H3,IF(L3&lt;&gt;"",Z3*L3,""))</f>
        <v>10</v>
      </c>
      <c r="AC3" s="81" t="str">
        <f t="shared" ref="AC3:AC55" si="12">IFERROR(IF(AND(AB3&lt;&gt;"",I3&lt;&gt;""),AB3/I3,IF(AND(Z3&lt;&gt;"",K3&lt;&gt;""),K3*Z3,"")),"")</f>
        <v/>
      </c>
      <c r="AD3" s="81" t="str">
        <f t="shared" ref="AD3:AD55" si="13">IFERROR(IF(B3&lt;&gt;"",AA3-Q3,""),"")</f>
        <v/>
      </c>
      <c r="AE3" s="81">
        <f t="shared" ref="AE3:AE55" si="14">IFERROR(IF(B3&lt;&gt;"",AB3-(P3/1000),""),"")</f>
        <v>10</v>
      </c>
      <c r="AF3" s="81">
        <f t="shared" ref="AF3:AF55" si="15">IFERROR(IF(G3="",VLOOKUP(C3,$B$1:$AK$100,36,FALSE),VLOOKUP(C3,$B$1:$AK$100,36,FALSE)*(G3/VLOOKUP(C3,$B$1:$AL$100,37,FALSE))),"")</f>
        <v>2.6455026455026454E-2</v>
      </c>
      <c r="AG3" s="81">
        <f t="shared" ref="AG3:AG55" si="16">IFERROR(IF(G3="",VLOOKUP(C3,$B$1:$AL$100,37,FALSE),VLOOKUP(C3,$B$1:$AL$100,37,FALSE)*(G3/VLOOKUP(C3,$B$1:$AL$100,37,FALSE))),"")</f>
        <v>5</v>
      </c>
      <c r="AH3" s="84" t="str">
        <f t="shared" ref="AH3:AH55" si="17">IF(AM3&lt;&gt;"",AM3/H3,IF(AND(C3=D3,C3&lt;&gt;""),AF3,IF(N3&lt;&gt;"",N3*AF3,IF(J3&lt;&gt;"",J3*AF3,""))))</f>
        <v/>
      </c>
      <c r="AI3" s="81">
        <f t="shared" ref="AI3:AI55" si="18">IF(AND(H3&lt;&gt;"",AH3&lt;&gt;""),AH3*H3,IF(L3&lt;&gt;"",AG3*L3,""))</f>
        <v>10</v>
      </c>
      <c r="AJ3" s="81" t="str">
        <f t="shared" ref="AJ3:AJ55" si="19">IFERROR(IF(AND(AI3&lt;&gt;"",I3&lt;&gt;""),AI3/I3,IF(AND(AG3&lt;&gt;"",K3&lt;&gt;""),K3*AG3,"")),"")</f>
        <v/>
      </c>
      <c r="AK3" s="81" t="str">
        <f t="shared" ref="AK3:AK55" si="20">IFERROR(IF(B3&lt;&gt;"",AH3-Q3,""),"")</f>
        <v/>
      </c>
      <c r="AL3" s="81">
        <f t="shared" ref="AL3:AL55" si="21">IFERROR(IF(B3&lt;&gt;"",AI3-(P3/1000),""),"")</f>
        <v>10</v>
      </c>
      <c r="AM3" s="59"/>
      <c r="AN3" s="59"/>
      <c r="AO3" s="64"/>
    </row>
    <row r="4" spans="1:41" x14ac:dyDescent="0.25">
      <c r="A4" s="62" t="s">
        <v>3</v>
      </c>
      <c r="B4" s="60" t="s">
        <v>4</v>
      </c>
      <c r="C4" s="60" t="s">
        <v>15</v>
      </c>
      <c r="D4" s="60" t="s">
        <v>17</v>
      </c>
      <c r="E4" s="60"/>
      <c r="F4" s="60"/>
      <c r="G4" s="77">
        <v>10</v>
      </c>
      <c r="H4" s="113"/>
      <c r="I4" s="113"/>
      <c r="J4" s="113"/>
      <c r="K4" s="113"/>
      <c r="L4" s="86">
        <v>4</v>
      </c>
      <c r="M4" s="86"/>
      <c r="N4" s="86"/>
      <c r="O4" s="113"/>
      <c r="P4" s="78">
        <f>SUMIFS('Product samples'!E:E, 'Product samples'!A:A, B4)</f>
        <v>0</v>
      </c>
      <c r="Q4" s="79">
        <f t="shared" si="1"/>
        <v>0</v>
      </c>
      <c r="R4" s="80">
        <f t="shared" si="2"/>
        <v>5.2910052910052907E-2</v>
      </c>
      <c r="S4" s="81">
        <f t="shared" si="3"/>
        <v>10</v>
      </c>
      <c r="T4" s="82" t="str">
        <f t="shared" si="0"/>
        <v/>
      </c>
      <c r="U4" s="83">
        <f t="shared" si="4"/>
        <v>40</v>
      </c>
      <c r="V4" s="81" t="str">
        <f t="shared" si="5"/>
        <v/>
      </c>
      <c r="W4" s="81" t="str">
        <f t="shared" si="6"/>
        <v/>
      </c>
      <c r="X4" s="81">
        <f t="shared" si="7"/>
        <v>40</v>
      </c>
      <c r="Y4" s="81">
        <f t="shared" si="8"/>
        <v>5.2910052910052907E-2</v>
      </c>
      <c r="Z4" s="81">
        <f t="shared" si="9"/>
        <v>10</v>
      </c>
      <c r="AA4" s="84" t="str">
        <f t="shared" si="10"/>
        <v/>
      </c>
      <c r="AB4" s="81">
        <f t="shared" si="11"/>
        <v>40</v>
      </c>
      <c r="AC4" s="81" t="str">
        <f t="shared" si="12"/>
        <v/>
      </c>
      <c r="AD4" s="81" t="str">
        <f t="shared" si="13"/>
        <v/>
      </c>
      <c r="AE4" s="81">
        <f t="shared" si="14"/>
        <v>40</v>
      </c>
      <c r="AF4" s="81">
        <f t="shared" si="15"/>
        <v>5.2910052910052907E-2</v>
      </c>
      <c r="AG4" s="81">
        <f t="shared" si="16"/>
        <v>10</v>
      </c>
      <c r="AH4" s="84" t="str">
        <f t="shared" si="17"/>
        <v/>
      </c>
      <c r="AI4" s="81">
        <f t="shared" si="18"/>
        <v>40</v>
      </c>
      <c r="AJ4" s="81" t="str">
        <f t="shared" si="19"/>
        <v/>
      </c>
      <c r="AK4" s="81" t="str">
        <f t="shared" si="20"/>
        <v/>
      </c>
      <c r="AL4" s="81">
        <f t="shared" si="21"/>
        <v>40</v>
      </c>
      <c r="AM4" s="60"/>
      <c r="AN4" s="60"/>
      <c r="AO4" s="63"/>
    </row>
    <row r="5" spans="1:41" x14ac:dyDescent="0.25">
      <c r="A5" s="61" t="s">
        <v>3</v>
      </c>
      <c r="B5" s="59"/>
      <c r="C5" s="59" t="s">
        <v>15</v>
      </c>
      <c r="D5" s="59" t="s">
        <v>18</v>
      </c>
      <c r="E5" s="59"/>
      <c r="F5" s="59"/>
      <c r="G5" s="77"/>
      <c r="H5" s="113"/>
      <c r="I5" s="113"/>
      <c r="J5" s="113"/>
      <c r="K5" s="113">
        <v>10</v>
      </c>
      <c r="L5" s="86"/>
      <c r="M5" s="86"/>
      <c r="N5" s="86"/>
      <c r="O5" s="113"/>
      <c r="P5" s="78">
        <f>SUMIFS('Product samples'!E:E, 'Product samples'!A:A, B5)</f>
        <v>0</v>
      </c>
      <c r="Q5" s="79">
        <f t="shared" si="1"/>
        <v>0</v>
      </c>
      <c r="R5" s="80">
        <f t="shared" si="2"/>
        <v>2.6455026455026454E-2</v>
      </c>
      <c r="S5" s="81">
        <f t="shared" si="3"/>
        <v>5</v>
      </c>
      <c r="T5" s="82" t="str">
        <f t="shared" si="0"/>
        <v/>
      </c>
      <c r="U5" s="83" t="str">
        <f t="shared" si="4"/>
        <v/>
      </c>
      <c r="V5" s="81">
        <f t="shared" si="5"/>
        <v>50</v>
      </c>
      <c r="W5" s="81" t="str">
        <f t="shared" si="6"/>
        <v/>
      </c>
      <c r="X5" s="81" t="str">
        <f t="shared" si="7"/>
        <v/>
      </c>
      <c r="Y5" s="81">
        <f t="shared" si="8"/>
        <v>2.6455026455026454E-2</v>
      </c>
      <c r="Z5" s="81">
        <f t="shared" si="9"/>
        <v>5</v>
      </c>
      <c r="AA5" s="84" t="str">
        <f t="shared" si="10"/>
        <v/>
      </c>
      <c r="AB5" s="81" t="str">
        <f t="shared" si="11"/>
        <v/>
      </c>
      <c r="AC5" s="81">
        <f t="shared" si="12"/>
        <v>50</v>
      </c>
      <c r="AD5" s="81" t="str">
        <f t="shared" si="13"/>
        <v/>
      </c>
      <c r="AE5" s="81" t="str">
        <f t="shared" si="14"/>
        <v/>
      </c>
      <c r="AF5" s="81">
        <f t="shared" si="15"/>
        <v>2.6455026455026454E-2</v>
      </c>
      <c r="AG5" s="81">
        <f t="shared" si="16"/>
        <v>5</v>
      </c>
      <c r="AH5" s="84" t="str">
        <f t="shared" si="17"/>
        <v/>
      </c>
      <c r="AI5" s="81" t="str">
        <f t="shared" si="18"/>
        <v/>
      </c>
      <c r="AJ5" s="81">
        <f t="shared" si="19"/>
        <v>50</v>
      </c>
      <c r="AK5" s="81" t="str">
        <f t="shared" si="20"/>
        <v/>
      </c>
      <c r="AL5" s="81" t="str">
        <f t="shared" si="21"/>
        <v/>
      </c>
      <c r="AM5" s="59"/>
      <c r="AN5" s="59"/>
      <c r="AO5" s="64"/>
    </row>
    <row r="6" spans="1:41" x14ac:dyDescent="0.25">
      <c r="A6" s="62" t="s">
        <v>3</v>
      </c>
      <c r="B6" s="60" t="s">
        <v>4</v>
      </c>
      <c r="C6" s="60" t="s">
        <v>15</v>
      </c>
      <c r="D6" s="60" t="s">
        <v>19</v>
      </c>
      <c r="E6" s="60"/>
      <c r="F6" s="60"/>
      <c r="G6" s="77"/>
      <c r="H6" s="113"/>
      <c r="I6" s="113"/>
      <c r="J6" s="113"/>
      <c r="K6" s="113"/>
      <c r="L6" s="86"/>
      <c r="M6" s="86"/>
      <c r="N6" s="86"/>
      <c r="O6" s="113"/>
      <c r="P6" s="78">
        <f>SUMIFS('Product samples'!E:E, 'Product samples'!A:A, B6)</f>
        <v>0</v>
      </c>
      <c r="Q6" s="79">
        <f t="shared" si="1"/>
        <v>0</v>
      </c>
      <c r="R6" s="80">
        <f t="shared" si="2"/>
        <v>2.6455026455026454E-2</v>
      </c>
      <c r="S6" s="81">
        <f t="shared" si="3"/>
        <v>5</v>
      </c>
      <c r="T6" s="82" t="str">
        <f t="shared" si="0"/>
        <v/>
      </c>
      <c r="U6" s="83" t="str">
        <f t="shared" si="4"/>
        <v/>
      </c>
      <c r="V6" s="81" t="str">
        <f t="shared" si="5"/>
        <v/>
      </c>
      <c r="W6" s="81" t="str">
        <f t="shared" si="6"/>
        <v/>
      </c>
      <c r="X6" s="81" t="str">
        <f t="shared" si="7"/>
        <v/>
      </c>
      <c r="Y6" s="81">
        <f t="shared" si="8"/>
        <v>2.6455026455026454E-2</v>
      </c>
      <c r="Z6" s="81">
        <f t="shared" si="9"/>
        <v>5</v>
      </c>
      <c r="AA6" s="84" t="str">
        <f t="shared" si="10"/>
        <v/>
      </c>
      <c r="AB6" s="81" t="str">
        <f t="shared" si="11"/>
        <v/>
      </c>
      <c r="AC6" s="81" t="str">
        <f t="shared" si="12"/>
        <v/>
      </c>
      <c r="AD6" s="81" t="str">
        <f t="shared" si="13"/>
        <v/>
      </c>
      <c r="AE6" s="81" t="str">
        <f t="shared" si="14"/>
        <v/>
      </c>
      <c r="AF6" s="81">
        <f t="shared" si="15"/>
        <v>2.6455026455026454E-2</v>
      </c>
      <c r="AG6" s="81">
        <f t="shared" si="16"/>
        <v>5</v>
      </c>
      <c r="AH6" s="84" t="str">
        <f t="shared" si="17"/>
        <v/>
      </c>
      <c r="AI6" s="81" t="str">
        <f t="shared" si="18"/>
        <v/>
      </c>
      <c r="AJ6" s="81" t="str">
        <f t="shared" si="19"/>
        <v/>
      </c>
      <c r="AK6" s="81" t="str">
        <f t="shared" si="20"/>
        <v/>
      </c>
      <c r="AL6" s="81" t="str">
        <f t="shared" si="21"/>
        <v/>
      </c>
      <c r="AM6" s="60"/>
      <c r="AN6" s="60"/>
      <c r="AO6" s="63"/>
    </row>
    <row r="7" spans="1:41" x14ac:dyDescent="0.25">
      <c r="A7" s="61" t="s">
        <v>3</v>
      </c>
      <c r="B7" s="59" t="s">
        <v>4</v>
      </c>
      <c r="C7" s="59" t="s">
        <v>15</v>
      </c>
      <c r="D7" s="59" t="s">
        <v>20</v>
      </c>
      <c r="E7" s="59"/>
      <c r="F7" s="59"/>
      <c r="G7" s="77"/>
      <c r="H7" s="113"/>
      <c r="I7" s="113"/>
      <c r="J7" s="113"/>
      <c r="K7" s="113"/>
      <c r="L7" s="86"/>
      <c r="M7" s="86"/>
      <c r="N7" s="86"/>
      <c r="O7" s="113"/>
      <c r="P7" s="78">
        <f>SUMIFS('Product samples'!E:E, 'Product samples'!A:A, B7)</f>
        <v>0</v>
      </c>
      <c r="Q7" s="79">
        <f t="shared" si="1"/>
        <v>0</v>
      </c>
      <c r="R7" s="80">
        <f t="shared" si="2"/>
        <v>2.6455026455026454E-2</v>
      </c>
      <c r="S7" s="81">
        <f t="shared" si="3"/>
        <v>5</v>
      </c>
      <c r="T7" s="82" t="str">
        <f t="shared" si="0"/>
        <v/>
      </c>
      <c r="U7" s="83" t="str">
        <f t="shared" si="4"/>
        <v/>
      </c>
      <c r="V7" s="81" t="str">
        <f t="shared" si="5"/>
        <v/>
      </c>
      <c r="W7" s="81" t="str">
        <f t="shared" si="6"/>
        <v/>
      </c>
      <c r="X7" s="81" t="str">
        <f t="shared" si="7"/>
        <v/>
      </c>
      <c r="Y7" s="81">
        <f t="shared" si="8"/>
        <v>2.6455026455026454E-2</v>
      </c>
      <c r="Z7" s="81">
        <f t="shared" si="9"/>
        <v>5</v>
      </c>
      <c r="AA7" s="84" t="str">
        <f t="shared" si="10"/>
        <v/>
      </c>
      <c r="AB7" s="81" t="str">
        <f t="shared" si="11"/>
        <v/>
      </c>
      <c r="AC7" s="81" t="str">
        <f t="shared" si="12"/>
        <v/>
      </c>
      <c r="AD7" s="81" t="str">
        <f t="shared" si="13"/>
        <v/>
      </c>
      <c r="AE7" s="81" t="str">
        <f t="shared" si="14"/>
        <v/>
      </c>
      <c r="AF7" s="81">
        <f t="shared" si="15"/>
        <v>2.6455026455026454E-2</v>
      </c>
      <c r="AG7" s="81">
        <f t="shared" si="16"/>
        <v>5</v>
      </c>
      <c r="AH7" s="84" t="str">
        <f t="shared" si="17"/>
        <v/>
      </c>
      <c r="AI7" s="81" t="str">
        <f t="shared" si="18"/>
        <v/>
      </c>
      <c r="AJ7" s="81" t="str">
        <f t="shared" si="19"/>
        <v/>
      </c>
      <c r="AK7" s="81" t="str">
        <f t="shared" si="20"/>
        <v/>
      </c>
      <c r="AL7" s="81" t="str">
        <f t="shared" si="21"/>
        <v/>
      </c>
      <c r="AM7" s="59"/>
      <c r="AN7" s="59"/>
      <c r="AO7" s="64"/>
    </row>
    <row r="8" spans="1:41" x14ac:dyDescent="0.25">
      <c r="A8" s="62" t="s">
        <v>3</v>
      </c>
      <c r="B8" s="60" t="s">
        <v>7</v>
      </c>
      <c r="C8" s="60" t="s">
        <v>15</v>
      </c>
      <c r="D8" s="60" t="s">
        <v>7</v>
      </c>
      <c r="E8" s="60"/>
      <c r="F8" s="60" t="s">
        <v>4</v>
      </c>
      <c r="G8" s="77"/>
      <c r="H8" s="113">
        <v>323.77999999999997</v>
      </c>
      <c r="I8" s="113">
        <v>3</v>
      </c>
      <c r="J8" s="113"/>
      <c r="K8" s="113"/>
      <c r="L8" s="86"/>
      <c r="M8" s="113">
        <v>0.91</v>
      </c>
      <c r="N8" s="113">
        <v>0.91</v>
      </c>
      <c r="O8" s="113">
        <v>0.91</v>
      </c>
      <c r="P8" s="78">
        <f>SUMIFS('Product samples'!E:E, 'Product samples'!A:A, B8)</f>
        <v>0</v>
      </c>
      <c r="Q8" s="79">
        <f t="shared" si="1"/>
        <v>0</v>
      </c>
      <c r="R8" s="80">
        <f t="shared" si="2"/>
        <v>2.6455026455026454E-2</v>
      </c>
      <c r="S8" s="81">
        <f t="shared" si="3"/>
        <v>5</v>
      </c>
      <c r="T8" s="82">
        <f t="shared" si="0"/>
        <v>2.4074074074074074E-2</v>
      </c>
      <c r="U8" s="83">
        <f t="shared" si="4"/>
        <v>7.7947037037037035</v>
      </c>
      <c r="V8" s="81">
        <f t="shared" si="5"/>
        <v>2.5982345679012346</v>
      </c>
      <c r="W8" s="81">
        <f t="shared" si="6"/>
        <v>2.4074074074074074E-2</v>
      </c>
      <c r="X8" s="81">
        <f t="shared" si="7"/>
        <v>7.7947037037037035</v>
      </c>
      <c r="Y8" s="81">
        <f t="shared" si="8"/>
        <v>2.6455026455026454E-2</v>
      </c>
      <c r="Z8" s="81">
        <f t="shared" si="9"/>
        <v>5</v>
      </c>
      <c r="AA8" s="84">
        <f t="shared" si="10"/>
        <v>2.4074074074074074E-2</v>
      </c>
      <c r="AB8" s="81">
        <f t="shared" si="11"/>
        <v>7.7947037037037035</v>
      </c>
      <c r="AC8" s="81">
        <f t="shared" si="12"/>
        <v>2.5982345679012346</v>
      </c>
      <c r="AD8" s="81">
        <f t="shared" si="13"/>
        <v>2.4074074074074074E-2</v>
      </c>
      <c r="AE8" s="81">
        <f t="shared" si="14"/>
        <v>7.7947037037037035</v>
      </c>
      <c r="AF8" s="81">
        <f t="shared" si="15"/>
        <v>2.6455026455026454E-2</v>
      </c>
      <c r="AG8" s="81">
        <f t="shared" si="16"/>
        <v>5</v>
      </c>
      <c r="AH8" s="84">
        <f t="shared" si="17"/>
        <v>2.4074074074074074E-2</v>
      </c>
      <c r="AI8" s="81">
        <f t="shared" si="18"/>
        <v>7.7947037037037035</v>
      </c>
      <c r="AJ8" s="81">
        <f t="shared" si="19"/>
        <v>2.5982345679012346</v>
      </c>
      <c r="AK8" s="81">
        <f t="shared" si="20"/>
        <v>2.4074074074074074E-2</v>
      </c>
      <c r="AL8" s="81">
        <f t="shared" si="21"/>
        <v>7.7947037037037035</v>
      </c>
      <c r="AM8" s="60"/>
      <c r="AN8" s="60"/>
      <c r="AO8" s="63"/>
    </row>
    <row r="9" spans="1:41" x14ac:dyDescent="0.25">
      <c r="A9" s="61"/>
      <c r="B9" s="59"/>
      <c r="C9" s="59"/>
      <c r="D9" s="59"/>
      <c r="E9" s="59"/>
      <c r="F9" s="59"/>
      <c r="G9" s="77"/>
      <c r="H9" s="113"/>
      <c r="I9" s="113"/>
      <c r="J9" s="113"/>
      <c r="K9" s="113"/>
      <c r="L9" s="86"/>
      <c r="M9" s="86"/>
      <c r="N9" s="86"/>
      <c r="O9" s="113"/>
      <c r="P9" s="78">
        <f>SUMIFS('Product samples'!E:E, 'Product samples'!A:A, B9)</f>
        <v>0</v>
      </c>
      <c r="Q9" s="79">
        <f t="shared" si="1"/>
        <v>0</v>
      </c>
      <c r="R9" s="80" t="str">
        <f t="shared" si="2"/>
        <v/>
      </c>
      <c r="S9" s="81" t="str">
        <f t="shared" si="3"/>
        <v/>
      </c>
      <c r="T9" s="82" t="str">
        <f t="shared" si="0"/>
        <v/>
      </c>
      <c r="U9" s="83" t="str">
        <f t="shared" si="4"/>
        <v/>
      </c>
      <c r="V9" s="81" t="str">
        <f t="shared" si="5"/>
        <v/>
      </c>
      <c r="W9" s="81" t="str">
        <f t="shared" si="6"/>
        <v/>
      </c>
      <c r="X9" s="81" t="str">
        <f t="shared" si="7"/>
        <v/>
      </c>
      <c r="Y9" s="81" t="str">
        <f t="shared" si="8"/>
        <v/>
      </c>
      <c r="Z9" s="81" t="str">
        <f t="shared" si="9"/>
        <v/>
      </c>
      <c r="AA9" s="84" t="str">
        <f t="shared" si="10"/>
        <v/>
      </c>
      <c r="AB9" s="81" t="str">
        <f t="shared" si="11"/>
        <v/>
      </c>
      <c r="AC9" s="81" t="str">
        <f t="shared" si="12"/>
        <v/>
      </c>
      <c r="AD9" s="81" t="str">
        <f t="shared" si="13"/>
        <v/>
      </c>
      <c r="AE9" s="81" t="str">
        <f t="shared" si="14"/>
        <v/>
      </c>
      <c r="AF9" s="81" t="str">
        <f t="shared" si="15"/>
        <v/>
      </c>
      <c r="AG9" s="81" t="str">
        <f t="shared" si="16"/>
        <v/>
      </c>
      <c r="AH9" s="84" t="str">
        <f t="shared" si="17"/>
        <v/>
      </c>
      <c r="AI9" s="81" t="str">
        <f t="shared" si="18"/>
        <v/>
      </c>
      <c r="AJ9" s="81" t="str">
        <f t="shared" si="19"/>
        <v/>
      </c>
      <c r="AK9" s="81" t="str">
        <f t="shared" si="20"/>
        <v/>
      </c>
      <c r="AL9" s="81" t="str">
        <f t="shared" si="21"/>
        <v/>
      </c>
      <c r="AM9" s="59"/>
      <c r="AN9" s="59"/>
      <c r="AO9" s="64"/>
    </row>
    <row r="10" spans="1:41" x14ac:dyDescent="0.25">
      <c r="A10" s="62" t="s">
        <v>9</v>
      </c>
      <c r="B10" s="60" t="s">
        <v>4</v>
      </c>
      <c r="C10" s="60" t="s">
        <v>7</v>
      </c>
      <c r="D10" s="114" t="s">
        <v>22</v>
      </c>
      <c r="E10" s="60"/>
      <c r="F10" s="60"/>
      <c r="G10" s="77"/>
      <c r="H10" s="113"/>
      <c r="I10" s="113"/>
      <c r="J10" s="113"/>
      <c r="K10" s="113"/>
      <c r="L10" s="86"/>
      <c r="M10" s="86"/>
      <c r="N10" s="86"/>
      <c r="O10" s="113"/>
      <c r="P10" s="78">
        <f>SUMIFS('Product samples'!E:E, 'Product samples'!A:A, B10)</f>
        <v>0</v>
      </c>
      <c r="Q10" s="79">
        <f t="shared" si="1"/>
        <v>0</v>
      </c>
      <c r="R10" s="80">
        <f t="shared" si="2"/>
        <v>2.4074074074074074E-2</v>
      </c>
      <c r="S10" s="81">
        <f t="shared" si="3"/>
        <v>7.7947037037037035</v>
      </c>
      <c r="T10" s="82" t="str">
        <f t="shared" si="0"/>
        <v/>
      </c>
      <c r="U10" s="83" t="str">
        <f t="shared" si="4"/>
        <v/>
      </c>
      <c r="V10" s="81" t="str">
        <f t="shared" si="5"/>
        <v/>
      </c>
      <c r="W10" s="81" t="str">
        <f t="shared" si="6"/>
        <v/>
      </c>
      <c r="X10" s="81" t="str">
        <f t="shared" si="7"/>
        <v/>
      </c>
      <c r="Y10" s="81">
        <f t="shared" si="8"/>
        <v>2.4074074074074074E-2</v>
      </c>
      <c r="Z10" s="81">
        <f t="shared" si="9"/>
        <v>7.7947037037037035</v>
      </c>
      <c r="AA10" s="84" t="str">
        <f t="shared" si="10"/>
        <v/>
      </c>
      <c r="AB10" s="81" t="str">
        <f t="shared" si="11"/>
        <v/>
      </c>
      <c r="AC10" s="81" t="str">
        <f t="shared" si="12"/>
        <v/>
      </c>
      <c r="AD10" s="81" t="str">
        <f t="shared" si="13"/>
        <v/>
      </c>
      <c r="AE10" s="81" t="str">
        <f t="shared" si="14"/>
        <v/>
      </c>
      <c r="AF10" s="81">
        <f t="shared" si="15"/>
        <v>2.4074074074074074E-2</v>
      </c>
      <c r="AG10" s="81">
        <f t="shared" si="16"/>
        <v>7.7947037037037035</v>
      </c>
      <c r="AH10" s="84" t="str">
        <f t="shared" si="17"/>
        <v/>
      </c>
      <c r="AI10" s="81" t="str">
        <f t="shared" si="18"/>
        <v/>
      </c>
      <c r="AJ10" s="81" t="str">
        <f t="shared" si="19"/>
        <v/>
      </c>
      <c r="AK10" s="81" t="str">
        <f t="shared" si="20"/>
        <v/>
      </c>
      <c r="AL10" s="81" t="str">
        <f t="shared" si="21"/>
        <v/>
      </c>
      <c r="AM10" s="60"/>
      <c r="AN10" s="60"/>
      <c r="AO10" s="63"/>
    </row>
    <row r="11" spans="1:41" x14ac:dyDescent="0.25">
      <c r="A11" s="61" t="s">
        <v>9</v>
      </c>
      <c r="B11" s="59" t="s">
        <v>4</v>
      </c>
      <c r="C11" s="59" t="s">
        <v>7</v>
      </c>
      <c r="D11" s="59" t="s">
        <v>23</v>
      </c>
      <c r="E11" s="59"/>
      <c r="F11" s="59"/>
      <c r="G11" s="77"/>
      <c r="H11" s="113"/>
      <c r="I11" s="113"/>
      <c r="J11" s="113"/>
      <c r="K11" s="113">
        <v>10</v>
      </c>
      <c r="L11" s="86"/>
      <c r="M11" s="86"/>
      <c r="N11" s="86"/>
      <c r="O11" s="113"/>
      <c r="P11" s="78">
        <f>SUMIFS('Product samples'!E:E, 'Product samples'!A:A, B11)</f>
        <v>0</v>
      </c>
      <c r="Q11" s="79">
        <f t="shared" si="1"/>
        <v>0</v>
      </c>
      <c r="R11" s="80">
        <f t="shared" si="2"/>
        <v>2.4074074074074074E-2</v>
      </c>
      <c r="S11" s="81">
        <f t="shared" si="3"/>
        <v>7.7947037037037035</v>
      </c>
      <c r="T11" s="82" t="str">
        <f t="shared" si="0"/>
        <v/>
      </c>
      <c r="U11" s="83" t="str">
        <f t="shared" si="4"/>
        <v/>
      </c>
      <c r="V11" s="81">
        <f t="shared" si="5"/>
        <v>77.947037037037035</v>
      </c>
      <c r="W11" s="81" t="str">
        <f t="shared" si="6"/>
        <v/>
      </c>
      <c r="X11" s="81" t="str">
        <f t="shared" si="7"/>
        <v/>
      </c>
      <c r="Y11" s="81">
        <f t="shared" si="8"/>
        <v>2.4074074074074074E-2</v>
      </c>
      <c r="Z11" s="81">
        <f t="shared" si="9"/>
        <v>7.7947037037037035</v>
      </c>
      <c r="AA11" s="84" t="str">
        <f t="shared" si="10"/>
        <v/>
      </c>
      <c r="AB11" s="81" t="str">
        <f t="shared" si="11"/>
        <v/>
      </c>
      <c r="AC11" s="81">
        <f t="shared" si="12"/>
        <v>77.947037037037035</v>
      </c>
      <c r="AD11" s="81" t="str">
        <f t="shared" si="13"/>
        <v/>
      </c>
      <c r="AE11" s="81" t="str">
        <f t="shared" si="14"/>
        <v/>
      </c>
      <c r="AF11" s="81">
        <f t="shared" si="15"/>
        <v>2.4074074074074074E-2</v>
      </c>
      <c r="AG11" s="81">
        <f t="shared" si="16"/>
        <v>7.7947037037037035</v>
      </c>
      <c r="AH11" s="84" t="str">
        <f t="shared" si="17"/>
        <v/>
      </c>
      <c r="AI11" s="81" t="str">
        <f t="shared" si="18"/>
        <v/>
      </c>
      <c r="AJ11" s="81">
        <f t="shared" si="19"/>
        <v>77.947037037037035</v>
      </c>
      <c r="AK11" s="81" t="str">
        <f t="shared" si="20"/>
        <v/>
      </c>
      <c r="AL11" s="81" t="str">
        <f t="shared" si="21"/>
        <v/>
      </c>
      <c r="AM11" s="59"/>
      <c r="AN11" s="59"/>
      <c r="AO11" s="64"/>
    </row>
    <row r="12" spans="1:41" x14ac:dyDescent="0.25">
      <c r="A12" s="62" t="s">
        <v>9</v>
      </c>
      <c r="B12" s="60" t="s">
        <v>4</v>
      </c>
      <c r="C12" s="60" t="s">
        <v>7</v>
      </c>
      <c r="D12" s="60" t="s">
        <v>24</v>
      </c>
      <c r="E12" s="60"/>
      <c r="F12" s="60" t="s">
        <v>4</v>
      </c>
      <c r="G12" s="77"/>
      <c r="H12" s="113"/>
      <c r="I12" s="113"/>
      <c r="J12" s="113"/>
      <c r="K12" s="113"/>
      <c r="L12" s="86"/>
      <c r="M12" s="86"/>
      <c r="N12" s="86"/>
      <c r="O12" s="113"/>
      <c r="P12" s="78">
        <f>SUMIFS('Product samples'!E:E, 'Product samples'!A:A, B12)</f>
        <v>0</v>
      </c>
      <c r="Q12" s="79">
        <f t="shared" si="1"/>
        <v>0</v>
      </c>
      <c r="R12" s="80">
        <f t="shared" si="2"/>
        <v>2.4074074074074074E-2</v>
      </c>
      <c r="S12" s="81">
        <f t="shared" si="3"/>
        <v>7.7947037037037035</v>
      </c>
      <c r="T12" s="82" t="str">
        <f t="shared" si="0"/>
        <v/>
      </c>
      <c r="U12" s="83" t="str">
        <f t="shared" si="4"/>
        <v/>
      </c>
      <c r="V12" s="81" t="str">
        <f t="shared" si="5"/>
        <v/>
      </c>
      <c r="W12" s="81" t="str">
        <f t="shared" si="6"/>
        <v/>
      </c>
      <c r="X12" s="81" t="str">
        <f t="shared" si="7"/>
        <v/>
      </c>
      <c r="Y12" s="81">
        <f t="shared" si="8"/>
        <v>2.4074074074074074E-2</v>
      </c>
      <c r="Z12" s="81">
        <f t="shared" si="9"/>
        <v>7.7947037037037035</v>
      </c>
      <c r="AA12" s="84" t="str">
        <f t="shared" si="10"/>
        <v/>
      </c>
      <c r="AB12" s="81" t="str">
        <f t="shared" si="11"/>
        <v/>
      </c>
      <c r="AC12" s="81" t="str">
        <f t="shared" si="12"/>
        <v/>
      </c>
      <c r="AD12" s="81" t="str">
        <f t="shared" si="13"/>
        <v/>
      </c>
      <c r="AE12" s="81" t="str">
        <f t="shared" si="14"/>
        <v/>
      </c>
      <c r="AF12" s="81">
        <f t="shared" si="15"/>
        <v>2.4074074074074074E-2</v>
      </c>
      <c r="AG12" s="81">
        <f t="shared" si="16"/>
        <v>7.7947037037037035</v>
      </c>
      <c r="AH12" s="84" t="str">
        <f t="shared" si="17"/>
        <v/>
      </c>
      <c r="AI12" s="81" t="str">
        <f t="shared" si="18"/>
        <v/>
      </c>
      <c r="AJ12" s="81" t="str">
        <f t="shared" si="19"/>
        <v/>
      </c>
      <c r="AK12" s="81" t="str">
        <f t="shared" si="20"/>
        <v/>
      </c>
      <c r="AL12" s="81" t="str">
        <f t="shared" si="21"/>
        <v/>
      </c>
      <c r="AM12" s="60"/>
      <c r="AN12" s="60"/>
      <c r="AO12" s="63"/>
    </row>
    <row r="13" spans="1:41" x14ac:dyDescent="0.25">
      <c r="A13" s="61" t="s">
        <v>9</v>
      </c>
      <c r="B13" s="59" t="s">
        <v>4</v>
      </c>
      <c r="C13" s="59" t="s">
        <v>7</v>
      </c>
      <c r="D13" s="59" t="s">
        <v>7</v>
      </c>
      <c r="E13" s="59"/>
      <c r="F13" s="59"/>
      <c r="G13" s="77"/>
      <c r="H13" s="113"/>
      <c r="I13" s="113"/>
      <c r="J13" s="113"/>
      <c r="K13" s="113"/>
      <c r="L13" s="86">
        <v>9</v>
      </c>
      <c r="M13" s="86"/>
      <c r="N13" s="86"/>
      <c r="O13" s="113"/>
      <c r="P13" s="78">
        <f>SUMIFS('Product samples'!E:E, 'Product samples'!A:A, B13)</f>
        <v>0</v>
      </c>
      <c r="Q13" s="79">
        <f t="shared" si="1"/>
        <v>0</v>
      </c>
      <c r="R13" s="80">
        <f t="shared" si="2"/>
        <v>2.4074074074074074E-2</v>
      </c>
      <c r="S13" s="81">
        <f t="shared" si="3"/>
        <v>7.7947037037037035</v>
      </c>
      <c r="T13" s="82">
        <f t="shared" si="0"/>
        <v>2.4074074074074074E-2</v>
      </c>
      <c r="U13" s="83">
        <f t="shared" si="4"/>
        <v>70.152333333333331</v>
      </c>
      <c r="V13" s="81" t="str">
        <f t="shared" si="5"/>
        <v/>
      </c>
      <c r="W13" s="81">
        <f t="shared" si="6"/>
        <v>2.4074074074074074E-2</v>
      </c>
      <c r="X13" s="81">
        <f t="shared" si="7"/>
        <v>70.152333333333331</v>
      </c>
      <c r="Y13" s="81">
        <f t="shared" si="8"/>
        <v>2.4074074074074074E-2</v>
      </c>
      <c r="Z13" s="81">
        <f t="shared" si="9"/>
        <v>7.7947037037037035</v>
      </c>
      <c r="AA13" s="84">
        <f t="shared" si="10"/>
        <v>2.4074074074074074E-2</v>
      </c>
      <c r="AB13" s="81">
        <f t="shared" si="11"/>
        <v>70.152333333333331</v>
      </c>
      <c r="AC13" s="81" t="str">
        <f t="shared" si="12"/>
        <v/>
      </c>
      <c r="AD13" s="81">
        <f t="shared" si="13"/>
        <v>2.4074074074074074E-2</v>
      </c>
      <c r="AE13" s="81">
        <f t="shared" si="14"/>
        <v>70.152333333333331</v>
      </c>
      <c r="AF13" s="81">
        <f t="shared" si="15"/>
        <v>2.4074074074074074E-2</v>
      </c>
      <c r="AG13" s="81">
        <f t="shared" si="16"/>
        <v>7.7947037037037035</v>
      </c>
      <c r="AH13" s="84">
        <f t="shared" si="17"/>
        <v>2.4074074074074074E-2</v>
      </c>
      <c r="AI13" s="81">
        <f t="shared" si="18"/>
        <v>70.152333333333331</v>
      </c>
      <c r="AJ13" s="81" t="str">
        <f t="shared" si="19"/>
        <v/>
      </c>
      <c r="AK13" s="81">
        <f t="shared" si="20"/>
        <v>2.4074074074074074E-2</v>
      </c>
      <c r="AL13" s="81">
        <f t="shared" si="21"/>
        <v>70.152333333333331</v>
      </c>
      <c r="AM13" s="59"/>
      <c r="AN13" s="59"/>
      <c r="AO13" s="64"/>
    </row>
    <row r="14" spans="1:41" x14ac:dyDescent="0.25">
      <c r="A14" s="62" t="s">
        <v>9</v>
      </c>
      <c r="B14" s="60" t="s">
        <v>12</v>
      </c>
      <c r="C14" s="60" t="s">
        <v>7</v>
      </c>
      <c r="D14" s="60" t="s">
        <v>12</v>
      </c>
      <c r="E14" s="60" t="s">
        <v>4</v>
      </c>
      <c r="F14" s="60" t="s">
        <v>4</v>
      </c>
      <c r="G14" s="77"/>
      <c r="H14" s="113">
        <v>381.86</v>
      </c>
      <c r="I14" s="113"/>
      <c r="J14" s="113"/>
      <c r="K14" s="113"/>
      <c r="L14" s="86"/>
      <c r="M14" s="113">
        <v>1</v>
      </c>
      <c r="N14" s="113">
        <v>1</v>
      </c>
      <c r="O14" s="113">
        <v>1</v>
      </c>
      <c r="P14" s="78">
        <f>SUMIFS('Product samples'!E:E, 'Product samples'!A:A, B14)</f>
        <v>0</v>
      </c>
      <c r="Q14" s="79">
        <f t="shared" si="1"/>
        <v>0</v>
      </c>
      <c r="R14" s="80">
        <f t="shared" si="2"/>
        <v>2.4074074074074074E-2</v>
      </c>
      <c r="S14" s="81">
        <f t="shared" si="3"/>
        <v>7.7947037037037035</v>
      </c>
      <c r="T14" s="82">
        <f t="shared" si="0"/>
        <v>2.4074074074074074E-2</v>
      </c>
      <c r="U14" s="83">
        <f t="shared" si="4"/>
        <v>9.1929259259259268</v>
      </c>
      <c r="V14" s="81" t="str">
        <f t="shared" si="5"/>
        <v/>
      </c>
      <c r="W14" s="81">
        <f t="shared" si="6"/>
        <v>2.4074074074074074E-2</v>
      </c>
      <c r="X14" s="81">
        <f t="shared" si="7"/>
        <v>9.1929259259259268</v>
      </c>
      <c r="Y14" s="81">
        <f t="shared" si="8"/>
        <v>2.4074074074074074E-2</v>
      </c>
      <c r="Z14" s="81">
        <f t="shared" si="9"/>
        <v>7.7947037037037035</v>
      </c>
      <c r="AA14" s="84">
        <f t="shared" si="10"/>
        <v>2.4074074074074074E-2</v>
      </c>
      <c r="AB14" s="81">
        <f t="shared" si="11"/>
        <v>9.1929259259259268</v>
      </c>
      <c r="AC14" s="81" t="str">
        <f t="shared" si="12"/>
        <v/>
      </c>
      <c r="AD14" s="81">
        <f t="shared" si="13"/>
        <v>2.4074074074074074E-2</v>
      </c>
      <c r="AE14" s="81">
        <f t="shared" si="14"/>
        <v>9.1929259259259268</v>
      </c>
      <c r="AF14" s="81">
        <f t="shared" si="15"/>
        <v>2.4074074074074074E-2</v>
      </c>
      <c r="AG14" s="81">
        <f t="shared" si="16"/>
        <v>7.7947037037037035</v>
      </c>
      <c r="AH14" s="84">
        <f t="shared" si="17"/>
        <v>2.4074074074074074E-2</v>
      </c>
      <c r="AI14" s="81">
        <f t="shared" si="18"/>
        <v>9.1929259259259268</v>
      </c>
      <c r="AJ14" s="81" t="str">
        <f t="shared" si="19"/>
        <v/>
      </c>
      <c r="AK14" s="81">
        <f t="shared" si="20"/>
        <v>2.4074074074074074E-2</v>
      </c>
      <c r="AL14" s="81">
        <f t="shared" si="21"/>
        <v>9.1929259259259268</v>
      </c>
      <c r="AM14" s="60"/>
      <c r="AN14" s="60"/>
      <c r="AO14" s="63"/>
    </row>
    <row r="15" spans="1:41" x14ac:dyDescent="0.25">
      <c r="A15" s="61"/>
      <c r="B15" s="59"/>
      <c r="C15" s="59"/>
      <c r="D15" s="59"/>
      <c r="E15" s="59"/>
      <c r="F15" s="59"/>
      <c r="G15" s="77"/>
      <c r="H15" s="113"/>
      <c r="I15" s="113"/>
      <c r="J15" s="113"/>
      <c r="K15" s="113"/>
      <c r="L15" s="86"/>
      <c r="M15" s="86"/>
      <c r="N15" s="86"/>
      <c r="O15" s="113"/>
      <c r="P15" s="78">
        <f>SUMIFS('Product samples'!E:E, 'Product samples'!A:A, B15)</f>
        <v>0</v>
      </c>
      <c r="Q15" s="79">
        <f t="shared" si="1"/>
        <v>0</v>
      </c>
      <c r="R15" s="80" t="str">
        <f t="shared" si="2"/>
        <v/>
      </c>
      <c r="S15" s="81" t="str">
        <f t="shared" si="3"/>
        <v/>
      </c>
      <c r="T15" s="82" t="str">
        <f t="shared" si="0"/>
        <v/>
      </c>
      <c r="U15" s="83" t="str">
        <f t="shared" si="4"/>
        <v/>
      </c>
      <c r="V15" s="81" t="str">
        <f t="shared" si="5"/>
        <v/>
      </c>
      <c r="W15" s="81" t="str">
        <f t="shared" si="6"/>
        <v/>
      </c>
      <c r="X15" s="81" t="str">
        <f t="shared" si="7"/>
        <v/>
      </c>
      <c r="Y15" s="81" t="str">
        <f t="shared" si="8"/>
        <v/>
      </c>
      <c r="Z15" s="81" t="str">
        <f t="shared" si="9"/>
        <v/>
      </c>
      <c r="AA15" s="84" t="str">
        <f t="shared" si="10"/>
        <v/>
      </c>
      <c r="AB15" s="81" t="str">
        <f t="shared" si="11"/>
        <v/>
      </c>
      <c r="AC15" s="81" t="str">
        <f t="shared" si="12"/>
        <v/>
      </c>
      <c r="AD15" s="81" t="str">
        <f t="shared" si="13"/>
        <v/>
      </c>
      <c r="AE15" s="81" t="str">
        <f t="shared" si="14"/>
        <v/>
      </c>
      <c r="AF15" s="81" t="str">
        <f t="shared" si="15"/>
        <v/>
      </c>
      <c r="AG15" s="81" t="str">
        <f t="shared" si="16"/>
        <v/>
      </c>
      <c r="AH15" s="84" t="str">
        <f t="shared" si="17"/>
        <v/>
      </c>
      <c r="AI15" s="81" t="str">
        <f t="shared" si="18"/>
        <v/>
      </c>
      <c r="AJ15" s="81" t="str">
        <f t="shared" si="19"/>
        <v/>
      </c>
      <c r="AK15" s="81" t="str">
        <f t="shared" si="20"/>
        <v/>
      </c>
      <c r="AL15" s="81" t="str">
        <f t="shared" si="21"/>
        <v/>
      </c>
      <c r="AM15" s="59"/>
      <c r="AN15" s="59"/>
      <c r="AO15" s="64"/>
    </row>
    <row r="16" spans="1:41" x14ac:dyDescent="0.25">
      <c r="A16" s="62" t="s">
        <v>10</v>
      </c>
      <c r="B16" s="60" t="s">
        <v>4</v>
      </c>
      <c r="C16" s="60" t="s">
        <v>12</v>
      </c>
      <c r="D16" s="60" t="s">
        <v>20</v>
      </c>
      <c r="E16" s="60" t="s">
        <v>5</v>
      </c>
      <c r="F16" s="60" t="s">
        <v>6</v>
      </c>
      <c r="G16" s="77"/>
      <c r="H16" s="113"/>
      <c r="I16" s="113"/>
      <c r="J16" s="113"/>
      <c r="K16" s="113">
        <v>10</v>
      </c>
      <c r="L16" s="86"/>
      <c r="M16" s="86"/>
      <c r="N16" s="86"/>
      <c r="O16" s="113"/>
      <c r="P16" s="78">
        <f>SUMIFS('Product samples'!E:E, 'Product samples'!A:A, B16)</f>
        <v>0</v>
      </c>
      <c r="Q16" s="79">
        <f t="shared" si="1"/>
        <v>0</v>
      </c>
      <c r="R16" s="80">
        <f t="shared" si="2"/>
        <v>2.4074074074074074E-2</v>
      </c>
      <c r="S16" s="81">
        <f t="shared" si="3"/>
        <v>9.1929259259259268</v>
      </c>
      <c r="T16" s="82" t="str">
        <f t="shared" si="0"/>
        <v/>
      </c>
      <c r="U16" s="83" t="str">
        <f t="shared" si="4"/>
        <v/>
      </c>
      <c r="V16" s="81">
        <f t="shared" si="5"/>
        <v>91.929259259259268</v>
      </c>
      <c r="W16" s="81" t="str">
        <f t="shared" si="6"/>
        <v/>
      </c>
      <c r="X16" s="81" t="str">
        <f t="shared" si="7"/>
        <v/>
      </c>
      <c r="Y16" s="81">
        <f t="shared" si="8"/>
        <v>2.4074074074074074E-2</v>
      </c>
      <c r="Z16" s="81">
        <f t="shared" si="9"/>
        <v>9.1929259259259268</v>
      </c>
      <c r="AA16" s="84" t="str">
        <f t="shared" si="10"/>
        <v/>
      </c>
      <c r="AB16" s="81" t="str">
        <f t="shared" si="11"/>
        <v/>
      </c>
      <c r="AC16" s="81">
        <f t="shared" si="12"/>
        <v>91.929259259259268</v>
      </c>
      <c r="AD16" s="81" t="str">
        <f t="shared" si="13"/>
        <v/>
      </c>
      <c r="AE16" s="81" t="str">
        <f t="shared" si="14"/>
        <v/>
      </c>
      <c r="AF16" s="81">
        <f t="shared" si="15"/>
        <v>2.4074074074074074E-2</v>
      </c>
      <c r="AG16" s="81">
        <f t="shared" si="16"/>
        <v>9.1929259259259268</v>
      </c>
      <c r="AH16" s="84" t="str">
        <f t="shared" si="17"/>
        <v/>
      </c>
      <c r="AI16" s="81" t="str">
        <f t="shared" si="18"/>
        <v/>
      </c>
      <c r="AJ16" s="81">
        <f t="shared" si="19"/>
        <v>91.929259259259268</v>
      </c>
      <c r="AK16" s="81" t="str">
        <f t="shared" si="20"/>
        <v/>
      </c>
      <c r="AL16" s="81" t="str">
        <f t="shared" si="21"/>
        <v/>
      </c>
      <c r="AM16" s="60"/>
      <c r="AN16" s="60"/>
      <c r="AO16" s="63"/>
    </row>
    <row r="17" spans="1:41" x14ac:dyDescent="0.25">
      <c r="A17" s="61" t="s">
        <v>10</v>
      </c>
      <c r="B17" s="59" t="s">
        <v>4</v>
      </c>
      <c r="C17" s="59" t="s">
        <v>12</v>
      </c>
      <c r="D17" s="59" t="s">
        <v>12</v>
      </c>
      <c r="E17" s="59" t="s">
        <v>4</v>
      </c>
      <c r="F17" s="59" t="s">
        <v>4</v>
      </c>
      <c r="G17" s="77"/>
      <c r="H17" s="113"/>
      <c r="I17" s="113"/>
      <c r="J17" s="113"/>
      <c r="K17" s="113"/>
      <c r="L17" s="86"/>
      <c r="M17" s="86"/>
      <c r="N17" s="86"/>
      <c r="O17" s="113"/>
      <c r="P17" s="78">
        <f>SUMIFS('Product samples'!E:E, 'Product samples'!A:A, B17)</f>
        <v>0</v>
      </c>
      <c r="Q17" s="79">
        <f t="shared" si="1"/>
        <v>0</v>
      </c>
      <c r="R17" s="80">
        <f t="shared" si="2"/>
        <v>2.4074074074074074E-2</v>
      </c>
      <c r="S17" s="81">
        <f t="shared" si="3"/>
        <v>9.1929259259259268</v>
      </c>
      <c r="T17" s="82">
        <f t="shared" si="0"/>
        <v>2.4074074074074074E-2</v>
      </c>
      <c r="U17" s="83" t="str">
        <f t="shared" si="4"/>
        <v/>
      </c>
      <c r="V17" s="81" t="str">
        <f t="shared" si="5"/>
        <v/>
      </c>
      <c r="W17" s="81">
        <f t="shared" si="6"/>
        <v>2.4074074074074074E-2</v>
      </c>
      <c r="X17" s="81" t="str">
        <f t="shared" si="7"/>
        <v/>
      </c>
      <c r="Y17" s="81">
        <f t="shared" si="8"/>
        <v>2.4074074074074074E-2</v>
      </c>
      <c r="Z17" s="81">
        <f t="shared" si="9"/>
        <v>9.1929259259259268</v>
      </c>
      <c r="AA17" s="84">
        <f t="shared" si="10"/>
        <v>2.4074074074074074E-2</v>
      </c>
      <c r="AB17" s="81" t="str">
        <f t="shared" si="11"/>
        <v/>
      </c>
      <c r="AC17" s="81" t="str">
        <f t="shared" si="12"/>
        <v/>
      </c>
      <c r="AD17" s="81">
        <f t="shared" si="13"/>
        <v>2.4074074074074074E-2</v>
      </c>
      <c r="AE17" s="81" t="str">
        <f t="shared" si="14"/>
        <v/>
      </c>
      <c r="AF17" s="81">
        <f t="shared" si="15"/>
        <v>2.4074074074074074E-2</v>
      </c>
      <c r="AG17" s="81">
        <f t="shared" si="16"/>
        <v>9.1929259259259268</v>
      </c>
      <c r="AH17" s="84">
        <f t="shared" si="17"/>
        <v>2.4074074074074074E-2</v>
      </c>
      <c r="AI17" s="81" t="str">
        <f t="shared" si="18"/>
        <v/>
      </c>
      <c r="AJ17" s="81" t="str">
        <f t="shared" si="19"/>
        <v/>
      </c>
      <c r="AK17" s="81">
        <f t="shared" si="20"/>
        <v>2.4074074074074074E-2</v>
      </c>
      <c r="AL17" s="81" t="str">
        <f t="shared" si="21"/>
        <v/>
      </c>
      <c r="AM17" s="59"/>
      <c r="AN17" s="59"/>
      <c r="AO17" s="64"/>
    </row>
    <row r="18" spans="1:41" x14ac:dyDescent="0.25">
      <c r="A18" s="62" t="s">
        <v>10</v>
      </c>
      <c r="B18" s="60" t="s">
        <v>11</v>
      </c>
      <c r="C18" s="60" t="s">
        <v>12</v>
      </c>
      <c r="D18" s="60" t="s">
        <v>11</v>
      </c>
      <c r="E18" s="60" t="s">
        <v>4</v>
      </c>
      <c r="F18" s="60" t="s">
        <v>4</v>
      </c>
      <c r="G18" s="77"/>
      <c r="H18" s="113">
        <v>297.74</v>
      </c>
      <c r="I18" s="113"/>
      <c r="J18" s="113"/>
      <c r="K18" s="113"/>
      <c r="L18" s="115"/>
      <c r="M18" s="115" t="s">
        <v>174</v>
      </c>
      <c r="N18" s="115" t="s">
        <v>175</v>
      </c>
      <c r="O18" s="113">
        <v>0.54</v>
      </c>
      <c r="P18" s="78">
        <f>SUMIFS('Product samples'!E:E, 'Product samples'!A:A, B18)</f>
        <v>0</v>
      </c>
      <c r="Q18" s="79">
        <f t="shared" si="1"/>
        <v>0</v>
      </c>
      <c r="R18" s="80">
        <f t="shared" si="2"/>
        <v>2.4074074074074074E-2</v>
      </c>
      <c r="S18" s="81">
        <f t="shared" si="3"/>
        <v>9.1929259259259268</v>
      </c>
      <c r="T18" s="82">
        <f t="shared" si="0"/>
        <v>1.3000000000000001E-2</v>
      </c>
      <c r="U18" s="83">
        <f t="shared" si="4"/>
        <v>3.8706200000000006</v>
      </c>
      <c r="V18" s="81" t="str">
        <f t="shared" si="5"/>
        <v/>
      </c>
      <c r="W18" s="81">
        <f t="shared" si="6"/>
        <v>1.3000000000000001E-2</v>
      </c>
      <c r="X18" s="81">
        <f t="shared" si="7"/>
        <v>3.8706200000000006</v>
      </c>
      <c r="Y18" s="81">
        <f t="shared" si="8"/>
        <v>2.4074074074074074E-2</v>
      </c>
      <c r="Z18" s="81">
        <f t="shared" si="9"/>
        <v>9.1929259259259268</v>
      </c>
      <c r="AA18" s="84" t="e">
        <f t="shared" si="10"/>
        <v>#VALUE!</v>
      </c>
      <c r="AB18" s="81" t="e">
        <f t="shared" si="11"/>
        <v>#VALUE!</v>
      </c>
      <c r="AC18" s="81" t="str">
        <f t="shared" si="12"/>
        <v/>
      </c>
      <c r="AD18" s="81" t="str">
        <f t="shared" si="13"/>
        <v/>
      </c>
      <c r="AE18" s="81" t="str">
        <f t="shared" si="14"/>
        <v/>
      </c>
      <c r="AF18" s="81">
        <f t="shared" si="15"/>
        <v>2.4074074074074074E-2</v>
      </c>
      <c r="AG18" s="81">
        <f t="shared" si="16"/>
        <v>9.1929259259259268</v>
      </c>
      <c r="AH18" s="84" t="e">
        <f t="shared" si="17"/>
        <v>#VALUE!</v>
      </c>
      <c r="AI18" s="81" t="e">
        <f t="shared" si="18"/>
        <v>#VALUE!</v>
      </c>
      <c r="AJ18" s="81" t="str">
        <f t="shared" si="19"/>
        <v/>
      </c>
      <c r="AK18" s="81" t="str">
        <f t="shared" si="20"/>
        <v/>
      </c>
      <c r="AL18" s="81" t="str">
        <f t="shared" si="21"/>
        <v/>
      </c>
      <c r="AM18" s="60"/>
      <c r="AN18" s="60"/>
      <c r="AO18" s="63"/>
    </row>
    <row r="19" spans="1:41" x14ac:dyDescent="0.25">
      <c r="A19" s="61"/>
      <c r="B19" s="59"/>
      <c r="C19" s="59"/>
      <c r="D19" s="59"/>
      <c r="E19" s="59"/>
      <c r="F19" s="59"/>
      <c r="G19" s="77"/>
      <c r="H19" s="113"/>
      <c r="I19" s="113"/>
      <c r="J19" s="113"/>
      <c r="K19" s="113"/>
      <c r="L19" s="86"/>
      <c r="M19" s="86"/>
      <c r="N19" s="86"/>
      <c r="O19" s="113"/>
      <c r="P19" s="78">
        <f>SUMIFS('Product samples'!E:E, 'Product samples'!A:A, B19)</f>
        <v>0</v>
      </c>
      <c r="Q19" s="79">
        <f t="shared" si="1"/>
        <v>0</v>
      </c>
      <c r="R19" s="80" t="str">
        <f t="shared" si="2"/>
        <v/>
      </c>
      <c r="S19" s="81" t="str">
        <f t="shared" si="3"/>
        <v/>
      </c>
      <c r="T19" s="82" t="str">
        <f t="shared" si="0"/>
        <v/>
      </c>
      <c r="U19" s="83" t="str">
        <f t="shared" si="4"/>
        <v/>
      </c>
      <c r="V19" s="81" t="str">
        <f t="shared" si="5"/>
        <v/>
      </c>
      <c r="W19" s="81" t="str">
        <f t="shared" si="6"/>
        <v/>
      </c>
      <c r="X19" s="81" t="str">
        <f t="shared" si="7"/>
        <v/>
      </c>
      <c r="Y19" s="81" t="str">
        <f t="shared" si="8"/>
        <v/>
      </c>
      <c r="Z19" s="81" t="str">
        <f t="shared" si="9"/>
        <v/>
      </c>
      <c r="AA19" s="84" t="str">
        <f t="shared" si="10"/>
        <v/>
      </c>
      <c r="AB19" s="81" t="str">
        <f t="shared" si="11"/>
        <v/>
      </c>
      <c r="AC19" s="81" t="str">
        <f t="shared" si="12"/>
        <v/>
      </c>
      <c r="AD19" s="81" t="str">
        <f t="shared" si="13"/>
        <v/>
      </c>
      <c r="AE19" s="81" t="str">
        <f t="shared" si="14"/>
        <v/>
      </c>
      <c r="AF19" s="81" t="str">
        <f t="shared" si="15"/>
        <v/>
      </c>
      <c r="AG19" s="81" t="str">
        <f t="shared" si="16"/>
        <v/>
      </c>
      <c r="AH19" s="84" t="str">
        <f t="shared" si="17"/>
        <v/>
      </c>
      <c r="AI19" s="81" t="str">
        <f t="shared" si="18"/>
        <v/>
      </c>
      <c r="AJ19" s="81" t="str">
        <f t="shared" si="19"/>
        <v/>
      </c>
      <c r="AK19" s="81" t="str">
        <f t="shared" si="20"/>
        <v/>
      </c>
      <c r="AL19" s="81" t="str">
        <f t="shared" si="21"/>
        <v/>
      </c>
    </row>
    <row r="20" spans="1:41" x14ac:dyDescent="0.25">
      <c r="A20" s="62" t="s">
        <v>25</v>
      </c>
      <c r="B20" s="60"/>
      <c r="C20" s="60" t="s">
        <v>11</v>
      </c>
      <c r="D20" s="116" t="s">
        <v>11</v>
      </c>
      <c r="E20" s="60"/>
      <c r="F20" s="60"/>
      <c r="G20" s="77"/>
      <c r="H20" s="77"/>
      <c r="I20" s="77"/>
      <c r="J20" s="77"/>
      <c r="K20" s="77"/>
      <c r="L20" s="86"/>
      <c r="M20" s="86"/>
      <c r="N20" s="86"/>
      <c r="O20" s="77"/>
      <c r="P20" s="78">
        <f>SUMIFS('Product samples'!E:E, 'Product samples'!A:A, B20)</f>
        <v>0</v>
      </c>
      <c r="Q20" s="79">
        <f t="shared" si="1"/>
        <v>0</v>
      </c>
      <c r="R20" s="80">
        <f t="shared" si="2"/>
        <v>1.3000000000000001E-2</v>
      </c>
      <c r="S20" s="81">
        <f t="shared" si="3"/>
        <v>3.8706200000000006</v>
      </c>
      <c r="T20" s="82">
        <f t="shared" si="0"/>
        <v>1.3000000000000001E-2</v>
      </c>
      <c r="U20" s="83" t="str">
        <f t="shared" si="4"/>
        <v/>
      </c>
      <c r="V20" s="81" t="str">
        <f t="shared" si="5"/>
        <v/>
      </c>
      <c r="W20" s="81" t="str">
        <f t="shared" si="6"/>
        <v/>
      </c>
      <c r="X20" s="81" t="str">
        <f t="shared" si="7"/>
        <v/>
      </c>
      <c r="Y20" s="81" t="str">
        <f t="shared" si="8"/>
        <v/>
      </c>
      <c r="Z20" s="81" t="str">
        <f t="shared" si="9"/>
        <v/>
      </c>
      <c r="AA20" s="84" t="str">
        <f t="shared" si="10"/>
        <v/>
      </c>
      <c r="AB20" s="81" t="str">
        <f t="shared" si="11"/>
        <v/>
      </c>
      <c r="AC20" s="81" t="str">
        <f t="shared" si="12"/>
        <v/>
      </c>
      <c r="AD20" s="81" t="str">
        <f t="shared" si="13"/>
        <v/>
      </c>
      <c r="AE20" s="81" t="str">
        <f t="shared" si="14"/>
        <v/>
      </c>
      <c r="AF20" s="81" t="str">
        <f t="shared" si="15"/>
        <v/>
      </c>
      <c r="AG20" s="81" t="str">
        <f t="shared" si="16"/>
        <v/>
      </c>
      <c r="AH20" s="84" t="str">
        <f t="shared" si="17"/>
        <v/>
      </c>
      <c r="AI20" s="81" t="str">
        <f t="shared" si="18"/>
        <v/>
      </c>
      <c r="AJ20" s="81" t="str">
        <f t="shared" si="19"/>
        <v/>
      </c>
      <c r="AK20" s="81" t="str">
        <f t="shared" si="20"/>
        <v/>
      </c>
      <c r="AL20" s="81" t="str">
        <f t="shared" si="21"/>
        <v/>
      </c>
    </row>
    <row r="21" spans="1:41" x14ac:dyDescent="0.25">
      <c r="A21" s="61" t="s">
        <v>25</v>
      </c>
      <c r="B21" s="59"/>
      <c r="C21" s="59" t="s">
        <v>11</v>
      </c>
      <c r="D21" s="59" t="s">
        <v>27</v>
      </c>
      <c r="E21" s="59"/>
      <c r="F21" s="59"/>
      <c r="G21" s="77"/>
      <c r="H21" s="77"/>
      <c r="I21" s="77"/>
      <c r="J21" s="77"/>
      <c r="K21" s="77">
        <v>4.8</v>
      </c>
      <c r="L21" s="86"/>
      <c r="M21" s="86"/>
      <c r="N21" s="86"/>
      <c r="O21" s="77"/>
      <c r="P21" s="78">
        <f>SUMIFS('Product samples'!E:E, 'Product samples'!A:A, B21)</f>
        <v>0</v>
      </c>
      <c r="Q21" s="79">
        <f t="shared" si="1"/>
        <v>0</v>
      </c>
      <c r="R21" s="80">
        <f t="shared" si="2"/>
        <v>1.3000000000000001E-2</v>
      </c>
      <c r="S21" s="81">
        <f t="shared" si="3"/>
        <v>3.8706200000000006</v>
      </c>
      <c r="T21" s="82" t="str">
        <f t="shared" si="0"/>
        <v/>
      </c>
      <c r="U21" s="83" t="str">
        <f t="shared" si="4"/>
        <v/>
      </c>
      <c r="V21" s="81">
        <f t="shared" si="5"/>
        <v>18.578976000000001</v>
      </c>
      <c r="W21" s="81" t="str">
        <f t="shared" si="6"/>
        <v/>
      </c>
      <c r="X21" s="81" t="str">
        <f t="shared" si="7"/>
        <v/>
      </c>
      <c r="Y21" s="81" t="str">
        <f t="shared" si="8"/>
        <v/>
      </c>
      <c r="Z21" s="81" t="str">
        <f t="shared" si="9"/>
        <v/>
      </c>
      <c r="AA21" s="84" t="str">
        <f t="shared" si="10"/>
        <v/>
      </c>
      <c r="AB21" s="81" t="str">
        <f t="shared" si="11"/>
        <v/>
      </c>
      <c r="AC21" s="81" t="str">
        <f t="shared" si="12"/>
        <v/>
      </c>
      <c r="AD21" s="81" t="str">
        <f t="shared" si="13"/>
        <v/>
      </c>
      <c r="AE21" s="81" t="str">
        <f t="shared" si="14"/>
        <v/>
      </c>
      <c r="AF21" s="81" t="str">
        <f t="shared" si="15"/>
        <v/>
      </c>
      <c r="AG21" s="81" t="str">
        <f t="shared" si="16"/>
        <v/>
      </c>
      <c r="AH21" s="84" t="str">
        <f t="shared" si="17"/>
        <v/>
      </c>
      <c r="AI21" s="81" t="str">
        <f t="shared" si="18"/>
        <v/>
      </c>
      <c r="AJ21" s="81" t="str">
        <f t="shared" si="19"/>
        <v/>
      </c>
      <c r="AK21" s="81" t="str">
        <f t="shared" si="20"/>
        <v/>
      </c>
      <c r="AL21" s="81" t="str">
        <f t="shared" si="21"/>
        <v/>
      </c>
    </row>
    <row r="22" spans="1:41" x14ac:dyDescent="0.25">
      <c r="A22" s="62" t="s">
        <v>25</v>
      </c>
      <c r="B22" s="60"/>
      <c r="C22" s="60" t="s">
        <v>11</v>
      </c>
      <c r="D22" s="60" t="s">
        <v>28</v>
      </c>
      <c r="E22" s="60"/>
      <c r="F22" s="60"/>
      <c r="G22" s="77"/>
      <c r="H22" s="77">
        <v>57</v>
      </c>
      <c r="I22" s="77"/>
      <c r="J22" s="77">
        <v>3</v>
      </c>
      <c r="K22" s="77"/>
      <c r="L22" s="86"/>
      <c r="M22" s="86"/>
      <c r="N22" s="86"/>
      <c r="O22" s="77"/>
      <c r="P22" s="78">
        <f>SUMIFS('Product samples'!E:E, 'Product samples'!A:A, B22)</f>
        <v>0</v>
      </c>
      <c r="Q22" s="79">
        <f t="shared" si="1"/>
        <v>0</v>
      </c>
      <c r="R22" s="80">
        <f t="shared" si="2"/>
        <v>1.3000000000000001E-2</v>
      </c>
      <c r="S22" s="81">
        <f t="shared" si="3"/>
        <v>3.8706200000000006</v>
      </c>
      <c r="T22" s="82">
        <f t="shared" si="0"/>
        <v>3.9000000000000007E-2</v>
      </c>
      <c r="U22" s="83">
        <f t="shared" si="4"/>
        <v>2.2230000000000003</v>
      </c>
      <c r="V22" s="81" t="str">
        <f t="shared" si="5"/>
        <v/>
      </c>
      <c r="W22" s="81" t="str">
        <f t="shared" si="6"/>
        <v/>
      </c>
      <c r="X22" s="81" t="str">
        <f t="shared" si="7"/>
        <v/>
      </c>
      <c r="Y22" s="81" t="str">
        <f t="shared" si="8"/>
        <v/>
      </c>
      <c r="Z22" s="81" t="str">
        <f t="shared" si="9"/>
        <v/>
      </c>
      <c r="AA22" s="84" t="e">
        <f t="shared" si="10"/>
        <v>#VALUE!</v>
      </c>
      <c r="AB22" s="81" t="e">
        <f t="shared" si="11"/>
        <v>#VALUE!</v>
      </c>
      <c r="AC22" s="81" t="str">
        <f t="shared" si="12"/>
        <v/>
      </c>
      <c r="AD22" s="81" t="str">
        <f t="shared" si="13"/>
        <v/>
      </c>
      <c r="AE22" s="81" t="str">
        <f t="shared" si="14"/>
        <v/>
      </c>
      <c r="AF22" s="81" t="str">
        <f t="shared" si="15"/>
        <v/>
      </c>
      <c r="AG22" s="81" t="str">
        <f t="shared" si="16"/>
        <v/>
      </c>
      <c r="AH22" s="84" t="e">
        <f t="shared" si="17"/>
        <v>#VALUE!</v>
      </c>
      <c r="AI22" s="81" t="e">
        <f t="shared" si="18"/>
        <v>#VALUE!</v>
      </c>
      <c r="AJ22" s="81" t="str">
        <f t="shared" si="19"/>
        <v/>
      </c>
      <c r="AK22" s="81" t="str">
        <f t="shared" si="20"/>
        <v/>
      </c>
      <c r="AL22" s="81" t="str">
        <f t="shared" si="21"/>
        <v/>
      </c>
    </row>
    <row r="23" spans="1:41" x14ac:dyDescent="0.25">
      <c r="A23" s="61" t="s">
        <v>25</v>
      </c>
      <c r="B23" s="59"/>
      <c r="C23" s="59" t="s">
        <v>11</v>
      </c>
      <c r="D23" s="59" t="s">
        <v>29</v>
      </c>
      <c r="E23" s="59"/>
      <c r="F23" s="59"/>
      <c r="G23" s="77"/>
      <c r="H23" s="77">
        <v>322.37</v>
      </c>
      <c r="I23" s="77"/>
      <c r="J23" s="77">
        <v>0.28999999999999998</v>
      </c>
      <c r="K23" s="77"/>
      <c r="L23" s="86"/>
      <c r="M23" s="86"/>
      <c r="N23" s="86"/>
      <c r="O23" s="77"/>
      <c r="P23" s="78">
        <f>SUMIFS('Product samples'!E:E, 'Product samples'!A:A, B23)</f>
        <v>0</v>
      </c>
      <c r="Q23" s="79">
        <f t="shared" si="1"/>
        <v>0</v>
      </c>
      <c r="R23" s="80">
        <f t="shared" si="2"/>
        <v>1.3000000000000001E-2</v>
      </c>
      <c r="S23" s="81">
        <f t="shared" si="3"/>
        <v>3.8706200000000006</v>
      </c>
      <c r="T23" s="82">
        <f t="shared" si="0"/>
        <v>3.7699999999999999E-3</v>
      </c>
      <c r="U23" s="83">
        <f t="shared" si="4"/>
        <v>1.2153349</v>
      </c>
      <c r="V23" s="81" t="str">
        <f t="shared" si="5"/>
        <v/>
      </c>
      <c r="W23" s="81" t="str">
        <f t="shared" si="6"/>
        <v/>
      </c>
      <c r="X23" s="81" t="str">
        <f t="shared" si="7"/>
        <v/>
      </c>
      <c r="Y23" s="81" t="str">
        <f t="shared" si="8"/>
        <v/>
      </c>
      <c r="Z23" s="81" t="str">
        <f t="shared" si="9"/>
        <v/>
      </c>
      <c r="AA23" s="84" t="e">
        <f t="shared" si="10"/>
        <v>#VALUE!</v>
      </c>
      <c r="AB23" s="81" t="e">
        <f t="shared" si="11"/>
        <v>#VALUE!</v>
      </c>
      <c r="AC23" s="81" t="str">
        <f t="shared" si="12"/>
        <v/>
      </c>
      <c r="AD23" s="81" t="str">
        <f t="shared" si="13"/>
        <v/>
      </c>
      <c r="AE23" s="81" t="str">
        <f t="shared" si="14"/>
        <v/>
      </c>
      <c r="AF23" s="81" t="str">
        <f t="shared" si="15"/>
        <v/>
      </c>
      <c r="AG23" s="81" t="str">
        <f t="shared" si="16"/>
        <v/>
      </c>
      <c r="AH23" s="84" t="e">
        <f t="shared" si="17"/>
        <v>#VALUE!</v>
      </c>
      <c r="AI23" s="81" t="e">
        <f t="shared" si="18"/>
        <v>#VALUE!</v>
      </c>
      <c r="AJ23" s="81" t="str">
        <f t="shared" si="19"/>
        <v/>
      </c>
      <c r="AK23" s="81" t="str">
        <f t="shared" si="20"/>
        <v/>
      </c>
      <c r="AL23" s="81" t="str">
        <f t="shared" si="21"/>
        <v/>
      </c>
    </row>
    <row r="24" spans="1:41" x14ac:dyDescent="0.25">
      <c r="A24" s="62" t="s">
        <v>25</v>
      </c>
      <c r="B24" s="60"/>
      <c r="C24" s="60" t="s">
        <v>11</v>
      </c>
      <c r="D24" s="60" t="s">
        <v>30</v>
      </c>
      <c r="E24" s="60"/>
      <c r="F24" s="60"/>
      <c r="G24" s="77"/>
      <c r="H24" s="77">
        <v>187.86</v>
      </c>
      <c r="I24" s="77"/>
      <c r="J24" s="77">
        <v>3</v>
      </c>
      <c r="K24" s="77"/>
      <c r="L24" s="86"/>
      <c r="M24" s="86"/>
      <c r="N24" s="86"/>
      <c r="O24" s="77"/>
      <c r="P24" s="78">
        <f>SUMIFS('Product samples'!E:E, 'Product samples'!A:A, B24)</f>
        <v>0</v>
      </c>
      <c r="Q24" s="79">
        <f t="shared" si="1"/>
        <v>0</v>
      </c>
      <c r="R24" s="80">
        <f t="shared" si="2"/>
        <v>1.3000000000000001E-2</v>
      </c>
      <c r="S24" s="81">
        <f t="shared" si="3"/>
        <v>3.8706200000000006</v>
      </c>
      <c r="T24" s="82">
        <f t="shared" si="0"/>
        <v>3.9000000000000007E-2</v>
      </c>
      <c r="U24" s="83">
        <f t="shared" si="4"/>
        <v>7.3265400000000014</v>
      </c>
      <c r="V24" s="81" t="str">
        <f t="shared" si="5"/>
        <v/>
      </c>
      <c r="W24" s="81" t="str">
        <f t="shared" si="6"/>
        <v/>
      </c>
      <c r="X24" s="81" t="str">
        <f t="shared" si="7"/>
        <v/>
      </c>
      <c r="Y24" s="81" t="str">
        <f t="shared" si="8"/>
        <v/>
      </c>
      <c r="Z24" s="81" t="str">
        <f t="shared" si="9"/>
        <v/>
      </c>
      <c r="AA24" s="84" t="e">
        <f t="shared" si="10"/>
        <v>#VALUE!</v>
      </c>
      <c r="AB24" s="81" t="e">
        <f t="shared" si="11"/>
        <v>#VALUE!</v>
      </c>
      <c r="AC24" s="81" t="str">
        <f t="shared" si="12"/>
        <v/>
      </c>
      <c r="AD24" s="81" t="str">
        <f t="shared" si="13"/>
        <v/>
      </c>
      <c r="AE24" s="81" t="str">
        <f t="shared" si="14"/>
        <v/>
      </c>
      <c r="AF24" s="81" t="str">
        <f t="shared" si="15"/>
        <v/>
      </c>
      <c r="AG24" s="81" t="str">
        <f t="shared" si="16"/>
        <v/>
      </c>
      <c r="AH24" s="84" t="e">
        <f t="shared" si="17"/>
        <v>#VALUE!</v>
      </c>
      <c r="AI24" s="81" t="e">
        <f t="shared" si="18"/>
        <v>#VALUE!</v>
      </c>
      <c r="AJ24" s="81" t="str">
        <f t="shared" si="19"/>
        <v/>
      </c>
      <c r="AK24" s="81" t="str">
        <f t="shared" si="20"/>
        <v/>
      </c>
      <c r="AL24" s="81" t="str">
        <f t="shared" si="21"/>
        <v/>
      </c>
    </row>
    <row r="25" spans="1:41" x14ac:dyDescent="0.25">
      <c r="A25" s="61" t="s">
        <v>25</v>
      </c>
      <c r="B25" s="59"/>
      <c r="C25" s="59" t="s">
        <v>11</v>
      </c>
      <c r="D25" s="59" t="s">
        <v>31</v>
      </c>
      <c r="E25" s="59"/>
      <c r="F25" s="59"/>
      <c r="G25" s="77"/>
      <c r="H25" s="77">
        <v>297.74</v>
      </c>
      <c r="I25" s="77"/>
      <c r="J25" s="77">
        <v>3.0000000000000001E-3</v>
      </c>
      <c r="K25" s="77"/>
      <c r="L25" s="86"/>
      <c r="M25" s="86"/>
      <c r="N25" s="86"/>
      <c r="O25" s="77"/>
      <c r="P25" s="78">
        <f>SUMIFS('Product samples'!E:E, 'Product samples'!A:A, B25)</f>
        <v>0</v>
      </c>
      <c r="Q25" s="79">
        <f t="shared" si="1"/>
        <v>0</v>
      </c>
      <c r="R25" s="80">
        <f t="shared" si="2"/>
        <v>1.3000000000000001E-2</v>
      </c>
      <c r="S25" s="81">
        <f t="shared" si="3"/>
        <v>3.8706200000000006</v>
      </c>
      <c r="T25" s="82">
        <f t="shared" si="0"/>
        <v>3.9000000000000006E-5</v>
      </c>
      <c r="U25" s="83">
        <f t="shared" si="4"/>
        <v>1.1611860000000002E-2</v>
      </c>
      <c r="V25" s="81" t="str">
        <f t="shared" si="5"/>
        <v/>
      </c>
      <c r="W25" s="81" t="str">
        <f t="shared" si="6"/>
        <v/>
      </c>
      <c r="X25" s="81" t="str">
        <f t="shared" si="7"/>
        <v/>
      </c>
      <c r="Y25" s="81" t="str">
        <f t="shared" si="8"/>
        <v/>
      </c>
      <c r="Z25" s="81" t="str">
        <f t="shared" si="9"/>
        <v/>
      </c>
      <c r="AA25" s="84" t="e">
        <f t="shared" si="10"/>
        <v>#VALUE!</v>
      </c>
      <c r="AB25" s="81" t="e">
        <f t="shared" si="11"/>
        <v>#VALUE!</v>
      </c>
      <c r="AC25" s="81" t="str">
        <f t="shared" si="12"/>
        <v/>
      </c>
      <c r="AD25" s="81" t="str">
        <f t="shared" si="13"/>
        <v/>
      </c>
      <c r="AE25" s="81" t="str">
        <f t="shared" si="14"/>
        <v/>
      </c>
      <c r="AF25" s="81" t="str">
        <f t="shared" si="15"/>
        <v/>
      </c>
      <c r="AG25" s="81" t="str">
        <f t="shared" si="16"/>
        <v/>
      </c>
      <c r="AH25" s="84" t="e">
        <f t="shared" si="17"/>
        <v>#VALUE!</v>
      </c>
      <c r="AI25" s="81" t="e">
        <f t="shared" si="18"/>
        <v>#VALUE!</v>
      </c>
      <c r="AJ25" s="81" t="str">
        <f t="shared" si="19"/>
        <v/>
      </c>
      <c r="AK25" s="81" t="str">
        <f t="shared" si="20"/>
        <v/>
      </c>
      <c r="AL25" s="81" t="str">
        <f t="shared" si="21"/>
        <v/>
      </c>
    </row>
    <row r="26" spans="1:41" x14ac:dyDescent="0.25">
      <c r="A26" s="62" t="s">
        <v>25</v>
      </c>
      <c r="B26" s="60"/>
      <c r="C26" s="60" t="s">
        <v>11</v>
      </c>
      <c r="D26" s="60" t="s">
        <v>32</v>
      </c>
      <c r="E26" s="60"/>
      <c r="F26" s="60"/>
      <c r="G26" s="77"/>
      <c r="H26" s="77"/>
      <c r="I26" s="77"/>
      <c r="J26" s="77"/>
      <c r="K26" s="77"/>
      <c r="L26" s="86"/>
      <c r="M26" s="86"/>
      <c r="N26" s="86"/>
      <c r="O26" s="77"/>
      <c r="P26" s="78">
        <f>SUMIFS('Product samples'!E:E, 'Product samples'!A:A, B26)</f>
        <v>0</v>
      </c>
      <c r="Q26" s="79">
        <f t="shared" si="1"/>
        <v>0</v>
      </c>
      <c r="R26" s="80">
        <f t="shared" si="2"/>
        <v>1.3000000000000001E-2</v>
      </c>
      <c r="S26" s="81">
        <f t="shared" si="3"/>
        <v>3.8706200000000006</v>
      </c>
      <c r="T26" s="82" t="str">
        <f t="shared" si="0"/>
        <v/>
      </c>
      <c r="U26" s="83" t="str">
        <f t="shared" si="4"/>
        <v/>
      </c>
      <c r="V26" s="81" t="str">
        <f t="shared" si="5"/>
        <v/>
      </c>
      <c r="W26" s="81" t="str">
        <f t="shared" si="6"/>
        <v/>
      </c>
      <c r="X26" s="81" t="str">
        <f t="shared" si="7"/>
        <v/>
      </c>
      <c r="Y26" s="81" t="str">
        <f t="shared" si="8"/>
        <v/>
      </c>
      <c r="Z26" s="81" t="str">
        <f t="shared" si="9"/>
        <v/>
      </c>
      <c r="AA26" s="84" t="str">
        <f t="shared" si="10"/>
        <v/>
      </c>
      <c r="AB26" s="81" t="str">
        <f t="shared" si="11"/>
        <v/>
      </c>
      <c r="AC26" s="81" t="str">
        <f t="shared" si="12"/>
        <v/>
      </c>
      <c r="AD26" s="81" t="str">
        <f t="shared" si="13"/>
        <v/>
      </c>
      <c r="AE26" s="81" t="str">
        <f t="shared" si="14"/>
        <v/>
      </c>
      <c r="AF26" s="81" t="str">
        <f t="shared" si="15"/>
        <v/>
      </c>
      <c r="AG26" s="81" t="str">
        <f t="shared" si="16"/>
        <v/>
      </c>
      <c r="AH26" s="84" t="str">
        <f t="shared" si="17"/>
        <v/>
      </c>
      <c r="AI26" s="81" t="str">
        <f t="shared" si="18"/>
        <v/>
      </c>
      <c r="AJ26" s="81" t="str">
        <f t="shared" si="19"/>
        <v/>
      </c>
      <c r="AK26" s="81" t="str">
        <f t="shared" si="20"/>
        <v/>
      </c>
      <c r="AL26" s="81" t="str">
        <f t="shared" si="21"/>
        <v/>
      </c>
    </row>
    <row r="27" spans="1:41" x14ac:dyDescent="0.25">
      <c r="A27" s="61" t="s">
        <v>25</v>
      </c>
      <c r="B27" s="59"/>
      <c r="C27" s="59" t="s">
        <v>11</v>
      </c>
      <c r="D27" s="59" t="s">
        <v>33</v>
      </c>
      <c r="E27" s="59"/>
      <c r="F27" s="59"/>
      <c r="G27" s="77"/>
      <c r="H27" s="77"/>
      <c r="I27" s="77"/>
      <c r="J27" s="77">
        <v>2.9</v>
      </c>
      <c r="K27" s="77">
        <v>6.2</v>
      </c>
      <c r="L27" s="86"/>
      <c r="M27" s="86"/>
      <c r="N27" s="86"/>
      <c r="O27" s="77"/>
      <c r="P27" s="78">
        <f>SUMIFS('Product samples'!E:E, 'Product samples'!A:A, B27)</f>
        <v>0</v>
      </c>
      <c r="Q27" s="79">
        <f t="shared" si="1"/>
        <v>0</v>
      </c>
      <c r="R27" s="80">
        <f t="shared" si="2"/>
        <v>1.3000000000000001E-2</v>
      </c>
      <c r="S27" s="81">
        <f t="shared" si="3"/>
        <v>3.8706200000000006</v>
      </c>
      <c r="T27" s="82">
        <f t="shared" si="0"/>
        <v>3.7700000000000004E-2</v>
      </c>
      <c r="U27" s="83" t="str">
        <f t="shared" si="4"/>
        <v/>
      </c>
      <c r="V27" s="81">
        <f t="shared" si="5"/>
        <v>23.997844000000004</v>
      </c>
      <c r="W27" s="81" t="str">
        <f t="shared" si="6"/>
        <v/>
      </c>
      <c r="X27" s="81" t="str">
        <f t="shared" si="7"/>
        <v/>
      </c>
      <c r="Y27" s="81" t="str">
        <f t="shared" si="8"/>
        <v/>
      </c>
      <c r="Z27" s="81" t="str">
        <f t="shared" si="9"/>
        <v/>
      </c>
      <c r="AA27" s="84" t="e">
        <f t="shared" si="10"/>
        <v>#VALUE!</v>
      </c>
      <c r="AB27" s="81" t="e">
        <f t="shared" si="11"/>
        <v>#VALUE!</v>
      </c>
      <c r="AC27" s="81" t="str">
        <f t="shared" si="12"/>
        <v/>
      </c>
      <c r="AD27" s="81" t="str">
        <f t="shared" si="13"/>
        <v/>
      </c>
      <c r="AE27" s="81" t="str">
        <f t="shared" si="14"/>
        <v/>
      </c>
      <c r="AF27" s="81" t="str">
        <f t="shared" si="15"/>
        <v/>
      </c>
      <c r="AG27" s="81" t="str">
        <f t="shared" si="16"/>
        <v/>
      </c>
      <c r="AH27" s="84" t="e">
        <f t="shared" si="17"/>
        <v>#VALUE!</v>
      </c>
      <c r="AI27" s="81" t="e">
        <f t="shared" si="18"/>
        <v>#VALUE!</v>
      </c>
      <c r="AJ27" s="81" t="str">
        <f t="shared" si="19"/>
        <v/>
      </c>
      <c r="AK27" s="81" t="str">
        <f t="shared" si="20"/>
        <v/>
      </c>
      <c r="AL27" s="81" t="str">
        <f t="shared" si="21"/>
        <v/>
      </c>
    </row>
    <row r="28" spans="1:41" x14ac:dyDescent="0.25">
      <c r="A28" s="62" t="s">
        <v>25</v>
      </c>
      <c r="B28" s="60" t="s">
        <v>26</v>
      </c>
      <c r="C28" s="60" t="s">
        <v>11</v>
      </c>
      <c r="D28" s="60" t="s">
        <v>26</v>
      </c>
      <c r="E28" s="60"/>
      <c r="F28" s="60"/>
      <c r="G28" s="77"/>
      <c r="H28" s="77">
        <v>323.77999999999997</v>
      </c>
      <c r="I28" s="77"/>
      <c r="J28" s="77"/>
      <c r="K28" s="77"/>
      <c r="L28" s="86"/>
      <c r="M28" s="86">
        <v>0.67</v>
      </c>
      <c r="N28" s="86">
        <v>0.67</v>
      </c>
      <c r="O28" s="77">
        <v>0.67</v>
      </c>
      <c r="P28" s="78">
        <f>SUMIFS('Product samples'!E:E, 'Product samples'!A:A, B28)</f>
        <v>0</v>
      </c>
      <c r="Q28" s="79">
        <f t="shared" si="1"/>
        <v>0</v>
      </c>
      <c r="R28" s="80">
        <f t="shared" si="2"/>
        <v>1.3000000000000001E-2</v>
      </c>
      <c r="S28" s="81">
        <f t="shared" si="3"/>
        <v>3.8706200000000006</v>
      </c>
      <c r="T28" s="82">
        <f t="shared" si="0"/>
        <v>8.7100000000000007E-3</v>
      </c>
      <c r="U28" s="83">
        <f t="shared" si="4"/>
        <v>2.8201238000000002</v>
      </c>
      <c r="V28" s="81" t="str">
        <f t="shared" si="5"/>
        <v/>
      </c>
      <c r="W28" s="81">
        <f t="shared" si="6"/>
        <v>8.7100000000000007E-3</v>
      </c>
      <c r="X28" s="81">
        <f t="shared" si="7"/>
        <v>2.8201238000000002</v>
      </c>
      <c r="Y28" s="81" t="str">
        <f t="shared" si="8"/>
        <v/>
      </c>
      <c r="Z28" s="81" t="str">
        <f t="shared" si="9"/>
        <v/>
      </c>
      <c r="AA28" s="84" t="e">
        <f t="shared" si="10"/>
        <v>#VALUE!</v>
      </c>
      <c r="AB28" s="81" t="e">
        <f t="shared" si="11"/>
        <v>#VALUE!</v>
      </c>
      <c r="AC28" s="81" t="str">
        <f t="shared" si="12"/>
        <v/>
      </c>
      <c r="AD28" s="81" t="str">
        <f t="shared" si="13"/>
        <v/>
      </c>
      <c r="AE28" s="81" t="str">
        <f t="shared" si="14"/>
        <v/>
      </c>
      <c r="AF28" s="81" t="str">
        <f t="shared" si="15"/>
        <v/>
      </c>
      <c r="AG28" s="81" t="str">
        <f t="shared" si="16"/>
        <v/>
      </c>
      <c r="AH28" s="84" t="e">
        <f t="shared" si="17"/>
        <v>#VALUE!</v>
      </c>
      <c r="AI28" s="81" t="e">
        <f t="shared" si="18"/>
        <v>#VALUE!</v>
      </c>
      <c r="AJ28" s="81" t="str">
        <f t="shared" si="19"/>
        <v/>
      </c>
      <c r="AK28" s="81" t="str">
        <f t="shared" si="20"/>
        <v/>
      </c>
      <c r="AL28" s="81" t="str">
        <f t="shared" si="21"/>
        <v/>
      </c>
    </row>
    <row r="29" spans="1:41" x14ac:dyDescent="0.25">
      <c r="A29" s="61"/>
      <c r="B29" s="59"/>
      <c r="C29" s="59"/>
      <c r="D29" s="59"/>
      <c r="E29" s="59"/>
      <c r="F29" s="59"/>
      <c r="G29" s="77"/>
      <c r="H29" s="77"/>
      <c r="I29" s="77"/>
      <c r="J29" s="77"/>
      <c r="K29" s="77"/>
      <c r="L29" s="86"/>
      <c r="M29" s="86"/>
      <c r="N29" s="86"/>
      <c r="O29" s="77"/>
      <c r="P29" s="78">
        <f>SUMIFS('Product samples'!E:E, 'Product samples'!A:A, B29)</f>
        <v>0</v>
      </c>
      <c r="Q29" s="79">
        <f t="shared" si="1"/>
        <v>0</v>
      </c>
      <c r="R29" s="80" t="str">
        <f t="shared" si="2"/>
        <v/>
      </c>
      <c r="S29" s="81" t="str">
        <f t="shared" si="3"/>
        <v/>
      </c>
      <c r="T29" s="82" t="str">
        <f t="shared" si="0"/>
        <v/>
      </c>
      <c r="U29" s="83" t="str">
        <f t="shared" si="4"/>
        <v/>
      </c>
      <c r="V29" s="81" t="str">
        <f t="shared" si="5"/>
        <v/>
      </c>
      <c r="W29" s="81" t="str">
        <f t="shared" si="6"/>
        <v/>
      </c>
      <c r="X29" s="81" t="str">
        <f t="shared" si="7"/>
        <v/>
      </c>
      <c r="Y29" s="81" t="str">
        <f t="shared" si="8"/>
        <v/>
      </c>
      <c r="Z29" s="81" t="str">
        <f t="shared" si="9"/>
        <v/>
      </c>
      <c r="AA29" s="84" t="str">
        <f t="shared" si="10"/>
        <v/>
      </c>
      <c r="AB29" s="81" t="str">
        <f t="shared" si="11"/>
        <v/>
      </c>
      <c r="AC29" s="81" t="str">
        <f t="shared" si="12"/>
        <v/>
      </c>
      <c r="AD29" s="81" t="str">
        <f t="shared" si="13"/>
        <v/>
      </c>
      <c r="AE29" s="81" t="str">
        <f t="shared" si="14"/>
        <v/>
      </c>
      <c r="AF29" s="81" t="str">
        <f t="shared" si="15"/>
        <v/>
      </c>
      <c r="AG29" s="81" t="str">
        <f t="shared" si="16"/>
        <v/>
      </c>
      <c r="AH29" s="84" t="str">
        <f t="shared" si="17"/>
        <v/>
      </c>
      <c r="AI29" s="81" t="str">
        <f t="shared" si="18"/>
        <v/>
      </c>
      <c r="AJ29" s="81" t="str">
        <f t="shared" si="19"/>
        <v/>
      </c>
      <c r="AK29" s="81" t="str">
        <f t="shared" si="20"/>
        <v/>
      </c>
      <c r="AL29" s="81" t="str">
        <f t="shared" si="21"/>
        <v/>
      </c>
    </row>
    <row r="30" spans="1:41" x14ac:dyDescent="0.25">
      <c r="A30" s="117" t="s">
        <v>54</v>
      </c>
      <c r="B30" s="118" t="s">
        <v>35</v>
      </c>
      <c r="C30" s="118"/>
      <c r="D30" s="118" t="s">
        <v>35</v>
      </c>
      <c r="E30" s="116"/>
      <c r="F30" s="60"/>
      <c r="G30" s="77"/>
      <c r="H30" s="77">
        <v>174</v>
      </c>
      <c r="I30" s="77"/>
      <c r="J30" s="77"/>
      <c r="K30" s="77"/>
      <c r="L30" s="86"/>
      <c r="M30" s="86"/>
      <c r="N30" s="86"/>
      <c r="O30" s="77"/>
      <c r="P30" s="78">
        <f>SUMIFS('Product samples'!E:E, 'Product samples'!A:A, B30)</f>
        <v>0</v>
      </c>
      <c r="Q30" s="79">
        <f t="shared" si="1"/>
        <v>0</v>
      </c>
      <c r="R30" s="80" t="str">
        <f t="shared" si="2"/>
        <v/>
      </c>
      <c r="S30" s="81" t="str">
        <f t="shared" si="3"/>
        <v/>
      </c>
      <c r="T30" s="82">
        <f t="shared" si="0"/>
        <v>2.2988505747126436E-2</v>
      </c>
      <c r="U30" s="83">
        <f t="shared" si="4"/>
        <v>4</v>
      </c>
      <c r="V30" s="81" t="str">
        <f t="shared" si="5"/>
        <v/>
      </c>
      <c r="W30" s="81">
        <f t="shared" si="6"/>
        <v>2.2988505747126436E-2</v>
      </c>
      <c r="X30" s="81">
        <f t="shared" si="7"/>
        <v>4</v>
      </c>
      <c r="Y30" s="81" t="str">
        <f t="shared" si="8"/>
        <v/>
      </c>
      <c r="Z30" s="81" t="str">
        <f t="shared" si="9"/>
        <v/>
      </c>
      <c r="AA30" s="84">
        <f t="shared" si="10"/>
        <v>2.2988505747126436E-2</v>
      </c>
      <c r="AB30" s="81">
        <f t="shared" si="11"/>
        <v>4</v>
      </c>
      <c r="AC30" s="81" t="str">
        <f t="shared" si="12"/>
        <v/>
      </c>
      <c r="AD30" s="81">
        <f t="shared" si="13"/>
        <v>2.2988505747126436E-2</v>
      </c>
      <c r="AE30" s="81">
        <f t="shared" si="14"/>
        <v>4</v>
      </c>
      <c r="AF30" s="81" t="str">
        <f t="shared" si="15"/>
        <v/>
      </c>
      <c r="AG30" s="81" t="str">
        <f t="shared" si="16"/>
        <v/>
      </c>
      <c r="AH30" s="84">
        <f t="shared" si="17"/>
        <v>2.2988505747126436E-2</v>
      </c>
      <c r="AI30" s="81">
        <f t="shared" si="18"/>
        <v>4</v>
      </c>
      <c r="AJ30" s="81" t="str">
        <f t="shared" si="19"/>
        <v/>
      </c>
      <c r="AK30" s="81">
        <f t="shared" si="20"/>
        <v>2.2988505747126436E-2</v>
      </c>
      <c r="AL30" s="81">
        <f t="shared" si="21"/>
        <v>4</v>
      </c>
      <c r="AM30" s="124">
        <v>4</v>
      </c>
    </row>
    <row r="31" spans="1:41" x14ac:dyDescent="0.25">
      <c r="A31" s="119" t="s">
        <v>34</v>
      </c>
      <c r="B31" s="120"/>
      <c r="C31" s="120" t="s">
        <v>35</v>
      </c>
      <c r="D31" s="59" t="s">
        <v>36</v>
      </c>
      <c r="E31" s="59"/>
      <c r="F31" s="59"/>
      <c r="G31" s="77"/>
      <c r="H31" s="77">
        <v>253.94</v>
      </c>
      <c r="I31" s="77"/>
      <c r="J31" s="77">
        <v>1.2</v>
      </c>
      <c r="K31" s="77"/>
      <c r="L31" s="86"/>
      <c r="M31" s="86"/>
      <c r="N31" s="86"/>
      <c r="O31" s="77"/>
      <c r="P31" s="78">
        <f>SUMIFS('Product samples'!E:E, 'Product samples'!A:A, B31)</f>
        <v>0</v>
      </c>
      <c r="Q31" s="79">
        <f t="shared" si="1"/>
        <v>0</v>
      </c>
      <c r="R31" s="80">
        <f t="shared" si="2"/>
        <v>2.2988505747126436E-2</v>
      </c>
      <c r="S31" s="81">
        <f t="shared" si="3"/>
        <v>4</v>
      </c>
      <c r="T31" s="82">
        <f t="shared" si="0"/>
        <v>2.7586206896551724E-2</v>
      </c>
      <c r="U31" s="83">
        <f t="shared" si="4"/>
        <v>7.0052413793103447</v>
      </c>
      <c r="V31" s="81" t="str">
        <f t="shared" si="5"/>
        <v/>
      </c>
      <c r="W31" s="81" t="str">
        <f t="shared" si="6"/>
        <v/>
      </c>
      <c r="X31" s="81" t="str">
        <f t="shared" si="7"/>
        <v/>
      </c>
      <c r="Y31" s="81">
        <f t="shared" si="8"/>
        <v>2.2988505747126436E-2</v>
      </c>
      <c r="Z31" s="81">
        <f t="shared" si="9"/>
        <v>4</v>
      </c>
      <c r="AA31" s="84">
        <f t="shared" si="10"/>
        <v>2.7586206896551724E-2</v>
      </c>
      <c r="AB31" s="81">
        <f t="shared" si="11"/>
        <v>7.0052413793103447</v>
      </c>
      <c r="AC31" s="81" t="str">
        <f t="shared" si="12"/>
        <v/>
      </c>
      <c r="AD31" s="81" t="str">
        <f t="shared" si="13"/>
        <v/>
      </c>
      <c r="AE31" s="81" t="str">
        <f t="shared" si="14"/>
        <v/>
      </c>
      <c r="AF31" s="81">
        <f t="shared" si="15"/>
        <v>2.2988505747126436E-2</v>
      </c>
      <c r="AG31" s="81">
        <f t="shared" si="16"/>
        <v>4</v>
      </c>
      <c r="AH31" s="84">
        <f t="shared" si="17"/>
        <v>2.7586206896551724E-2</v>
      </c>
      <c r="AI31" s="81">
        <f t="shared" si="18"/>
        <v>7.0052413793103447</v>
      </c>
      <c r="AJ31" s="81" t="str">
        <f t="shared" si="19"/>
        <v/>
      </c>
      <c r="AK31" s="81" t="str">
        <f t="shared" si="20"/>
        <v/>
      </c>
      <c r="AL31" s="81" t="str">
        <f t="shared" si="21"/>
        <v/>
      </c>
    </row>
    <row r="32" spans="1:41" x14ac:dyDescent="0.25">
      <c r="A32" s="119" t="s">
        <v>34</v>
      </c>
      <c r="B32" s="120"/>
      <c r="C32" s="120" t="s">
        <v>35</v>
      </c>
      <c r="D32" s="60" t="s">
        <v>37</v>
      </c>
      <c r="E32" s="60"/>
      <c r="F32" s="60"/>
      <c r="G32" s="77"/>
      <c r="H32" s="77">
        <v>731.7</v>
      </c>
      <c r="I32" s="77"/>
      <c r="J32" s="77"/>
      <c r="K32" s="77"/>
      <c r="L32" s="86"/>
      <c r="M32" s="86"/>
      <c r="N32" s="86"/>
      <c r="O32" s="77"/>
      <c r="P32" s="78">
        <f>SUMIFS('Product samples'!E:E, 'Product samples'!A:A, B32)</f>
        <v>0</v>
      </c>
      <c r="Q32" s="79">
        <f t="shared" si="1"/>
        <v>0</v>
      </c>
      <c r="R32" s="80">
        <f t="shared" si="2"/>
        <v>2.2988505747126436E-2</v>
      </c>
      <c r="S32" s="81">
        <f t="shared" si="3"/>
        <v>4</v>
      </c>
      <c r="T32" s="82" t="str">
        <f t="shared" si="0"/>
        <v/>
      </c>
      <c r="U32" s="83" t="str">
        <f t="shared" si="4"/>
        <v/>
      </c>
      <c r="V32" s="81" t="str">
        <f t="shared" si="5"/>
        <v/>
      </c>
      <c r="W32" s="81" t="str">
        <f t="shared" si="6"/>
        <v/>
      </c>
      <c r="X32" s="81" t="str">
        <f t="shared" si="7"/>
        <v/>
      </c>
      <c r="Y32" s="81">
        <f t="shared" si="8"/>
        <v>2.2988505747126436E-2</v>
      </c>
      <c r="Z32" s="81">
        <f t="shared" si="9"/>
        <v>4</v>
      </c>
      <c r="AA32" s="84" t="str">
        <f t="shared" si="10"/>
        <v/>
      </c>
      <c r="AB32" s="81" t="str">
        <f t="shared" si="11"/>
        <v/>
      </c>
      <c r="AC32" s="81" t="str">
        <f t="shared" si="12"/>
        <v/>
      </c>
      <c r="AD32" s="81" t="str">
        <f t="shared" si="13"/>
        <v/>
      </c>
      <c r="AE32" s="81" t="str">
        <f t="shared" si="14"/>
        <v/>
      </c>
      <c r="AF32" s="81">
        <f t="shared" si="15"/>
        <v>2.2988505747126436E-2</v>
      </c>
      <c r="AG32" s="81">
        <f t="shared" si="16"/>
        <v>4</v>
      </c>
      <c r="AH32" s="84" t="str">
        <f t="shared" si="17"/>
        <v/>
      </c>
      <c r="AI32" s="81" t="str">
        <f t="shared" si="18"/>
        <v/>
      </c>
      <c r="AJ32" s="81" t="str">
        <f t="shared" si="19"/>
        <v/>
      </c>
      <c r="AK32" s="81" t="str">
        <f t="shared" si="20"/>
        <v/>
      </c>
      <c r="AL32" s="81" t="str">
        <f t="shared" si="21"/>
        <v/>
      </c>
    </row>
    <row r="33" spans="1:38" x14ac:dyDescent="0.25">
      <c r="A33" s="119" t="s">
        <v>34</v>
      </c>
      <c r="B33" s="120" t="s">
        <v>38</v>
      </c>
      <c r="C33" s="120" t="s">
        <v>35</v>
      </c>
      <c r="D33" s="59" t="s">
        <v>38</v>
      </c>
      <c r="E33" s="59"/>
      <c r="F33" s="59"/>
      <c r="G33" s="77"/>
      <c r="H33" s="77">
        <v>221.07</v>
      </c>
      <c r="I33" s="77"/>
      <c r="J33" s="77">
        <v>1.2</v>
      </c>
      <c r="K33" s="77"/>
      <c r="L33" s="86"/>
      <c r="M33" s="86">
        <v>0.9</v>
      </c>
      <c r="N33" s="86">
        <v>0.9</v>
      </c>
      <c r="O33" s="86">
        <v>0.9</v>
      </c>
      <c r="P33" s="78">
        <f>SUMIFS('Product samples'!E:E, 'Product samples'!A:A, B33)</f>
        <v>0</v>
      </c>
      <c r="Q33" s="79">
        <f t="shared" si="1"/>
        <v>0</v>
      </c>
      <c r="R33" s="80">
        <f t="shared" si="2"/>
        <v>2.2988505747126436E-2</v>
      </c>
      <c r="S33" s="81">
        <f t="shared" si="3"/>
        <v>4</v>
      </c>
      <c r="T33" s="82">
        <f t="shared" si="0"/>
        <v>2.0689655172413793E-2</v>
      </c>
      <c r="U33" s="83">
        <f t="shared" si="4"/>
        <v>4.5738620689655169</v>
      </c>
      <c r="V33" s="81" t="str">
        <f t="shared" si="5"/>
        <v/>
      </c>
      <c r="W33" s="81">
        <f t="shared" si="6"/>
        <v>2.0689655172413793E-2</v>
      </c>
      <c r="X33" s="81">
        <f t="shared" si="7"/>
        <v>4.5738620689655169</v>
      </c>
      <c r="Y33" s="81">
        <f t="shared" si="8"/>
        <v>2.2988505747126436E-2</v>
      </c>
      <c r="Z33" s="81">
        <f t="shared" si="9"/>
        <v>4</v>
      </c>
      <c r="AA33" s="84">
        <f t="shared" si="10"/>
        <v>2.0689655172413793E-2</v>
      </c>
      <c r="AB33" s="81">
        <f t="shared" si="11"/>
        <v>4.5738620689655169</v>
      </c>
      <c r="AC33" s="81" t="str">
        <f t="shared" si="12"/>
        <v/>
      </c>
      <c r="AD33" s="81">
        <f t="shared" si="13"/>
        <v>2.0689655172413793E-2</v>
      </c>
      <c r="AE33" s="81">
        <f t="shared" si="14"/>
        <v>4.5738620689655169</v>
      </c>
      <c r="AF33" s="81">
        <f t="shared" si="15"/>
        <v>2.2988505747126436E-2</v>
      </c>
      <c r="AG33" s="81">
        <f t="shared" si="16"/>
        <v>4</v>
      </c>
      <c r="AH33" s="84">
        <f t="shared" si="17"/>
        <v>2.0689655172413793E-2</v>
      </c>
      <c r="AI33" s="81">
        <f t="shared" si="18"/>
        <v>4.5738620689655169</v>
      </c>
      <c r="AJ33" s="81" t="str">
        <f t="shared" si="19"/>
        <v/>
      </c>
      <c r="AK33" s="81">
        <f t="shared" si="20"/>
        <v>2.0689655172413793E-2</v>
      </c>
      <c r="AL33" s="81">
        <f t="shared" si="21"/>
        <v>4.5738620689655169</v>
      </c>
    </row>
    <row r="34" spans="1:38" x14ac:dyDescent="0.25">
      <c r="A34" s="119"/>
      <c r="B34" s="120"/>
      <c r="C34" s="120"/>
      <c r="D34" s="60"/>
      <c r="E34" s="60"/>
      <c r="F34" s="60"/>
      <c r="G34" s="77"/>
      <c r="H34" s="77"/>
      <c r="I34" s="77"/>
      <c r="J34" s="77"/>
      <c r="K34" s="77"/>
      <c r="L34" s="86"/>
      <c r="M34" s="86"/>
      <c r="N34" s="86"/>
      <c r="O34" s="77"/>
      <c r="P34" s="78">
        <f>SUMIFS('Product samples'!E:E, 'Product samples'!A:A, B34)</f>
        <v>0</v>
      </c>
      <c r="Q34" s="79">
        <f t="shared" si="1"/>
        <v>0</v>
      </c>
      <c r="R34" s="80" t="str">
        <f t="shared" si="2"/>
        <v/>
      </c>
      <c r="S34" s="81" t="str">
        <f t="shared" si="3"/>
        <v/>
      </c>
      <c r="T34" s="82" t="str">
        <f t="shared" si="0"/>
        <v/>
      </c>
      <c r="U34" s="83" t="str">
        <f t="shared" si="4"/>
        <v/>
      </c>
      <c r="V34" s="81" t="str">
        <f t="shared" si="5"/>
        <v/>
      </c>
      <c r="W34" s="81" t="str">
        <f t="shared" si="6"/>
        <v/>
      </c>
      <c r="X34" s="81" t="str">
        <f t="shared" si="7"/>
        <v/>
      </c>
      <c r="Y34" s="81" t="str">
        <f t="shared" si="8"/>
        <v/>
      </c>
      <c r="Z34" s="81" t="str">
        <f t="shared" si="9"/>
        <v/>
      </c>
      <c r="AA34" s="84" t="str">
        <f t="shared" si="10"/>
        <v/>
      </c>
      <c r="AB34" s="81" t="str">
        <f t="shared" si="11"/>
        <v/>
      </c>
      <c r="AC34" s="81" t="str">
        <f t="shared" si="12"/>
        <v/>
      </c>
      <c r="AD34" s="81" t="str">
        <f t="shared" si="13"/>
        <v/>
      </c>
      <c r="AE34" s="81" t="str">
        <f t="shared" si="14"/>
        <v/>
      </c>
      <c r="AF34" s="81" t="str">
        <f t="shared" si="15"/>
        <v/>
      </c>
      <c r="AG34" s="81" t="str">
        <f t="shared" si="16"/>
        <v/>
      </c>
      <c r="AH34" s="84" t="str">
        <f t="shared" si="17"/>
        <v/>
      </c>
      <c r="AI34" s="81" t="str">
        <f t="shared" si="18"/>
        <v/>
      </c>
      <c r="AJ34" s="81" t="str">
        <f t="shared" si="19"/>
        <v/>
      </c>
      <c r="AK34" s="81" t="str">
        <f t="shared" si="20"/>
        <v/>
      </c>
      <c r="AL34" s="81" t="str">
        <f t="shared" si="21"/>
        <v/>
      </c>
    </row>
    <row r="35" spans="1:38" x14ac:dyDescent="0.25">
      <c r="A35" s="119" t="s">
        <v>39</v>
      </c>
      <c r="B35" s="120"/>
      <c r="C35" s="120" t="s">
        <v>26</v>
      </c>
      <c r="D35" s="116" t="s">
        <v>26</v>
      </c>
      <c r="E35" s="59"/>
      <c r="F35" s="59"/>
      <c r="G35" s="77"/>
      <c r="H35" s="77"/>
      <c r="I35" s="77"/>
      <c r="J35" s="77"/>
      <c r="K35" s="77"/>
      <c r="L35" s="86"/>
      <c r="M35" s="86"/>
      <c r="N35" s="86"/>
      <c r="O35" s="77"/>
      <c r="P35" s="78">
        <f>SUMIFS('Product samples'!E:E, 'Product samples'!A:A, B35)</f>
        <v>0</v>
      </c>
      <c r="Q35" s="79">
        <f t="shared" si="1"/>
        <v>0</v>
      </c>
      <c r="R35" s="80">
        <f t="shared" si="2"/>
        <v>8.7100000000000007E-3</v>
      </c>
      <c r="S35" s="81">
        <f t="shared" si="3"/>
        <v>2.8201238000000002</v>
      </c>
      <c r="T35" s="82">
        <f t="shared" si="0"/>
        <v>8.7100000000000007E-3</v>
      </c>
      <c r="U35" s="83" t="str">
        <f t="shared" si="4"/>
        <v/>
      </c>
      <c r="V35" s="81" t="str">
        <f t="shared" si="5"/>
        <v/>
      </c>
      <c r="W35" s="81" t="str">
        <f t="shared" si="6"/>
        <v/>
      </c>
      <c r="X35" s="81" t="str">
        <f t="shared" si="7"/>
        <v/>
      </c>
      <c r="Y35" s="81" t="str">
        <f t="shared" si="8"/>
        <v/>
      </c>
      <c r="Z35" s="81" t="str">
        <f t="shared" si="9"/>
        <v/>
      </c>
      <c r="AA35" s="84" t="str">
        <f t="shared" si="10"/>
        <v/>
      </c>
      <c r="AB35" s="81" t="str">
        <f t="shared" si="11"/>
        <v/>
      </c>
      <c r="AC35" s="81" t="str">
        <f t="shared" si="12"/>
        <v/>
      </c>
      <c r="AD35" s="81" t="str">
        <f t="shared" si="13"/>
        <v/>
      </c>
      <c r="AE35" s="81" t="str">
        <f t="shared" si="14"/>
        <v/>
      </c>
      <c r="AF35" s="81" t="str">
        <f t="shared" si="15"/>
        <v/>
      </c>
      <c r="AG35" s="81" t="str">
        <f t="shared" si="16"/>
        <v/>
      </c>
      <c r="AH35" s="84" t="str">
        <f t="shared" si="17"/>
        <v/>
      </c>
      <c r="AI35" s="81" t="str">
        <f t="shared" si="18"/>
        <v/>
      </c>
      <c r="AJ35" s="81" t="str">
        <f t="shared" si="19"/>
        <v/>
      </c>
      <c r="AK35" s="81" t="str">
        <f t="shared" si="20"/>
        <v/>
      </c>
      <c r="AL35" s="81" t="str">
        <f t="shared" si="21"/>
        <v/>
      </c>
    </row>
    <row r="36" spans="1:38" x14ac:dyDescent="0.25">
      <c r="A36" s="119" t="s">
        <v>39</v>
      </c>
      <c r="B36" s="120"/>
      <c r="C36" s="120" t="s">
        <v>26</v>
      </c>
      <c r="D36" s="60" t="s">
        <v>38</v>
      </c>
      <c r="E36" s="60"/>
      <c r="F36" s="60"/>
      <c r="G36" s="77"/>
      <c r="H36" s="77"/>
      <c r="I36" s="77"/>
      <c r="J36" s="77">
        <v>1.2</v>
      </c>
      <c r="K36" s="77"/>
      <c r="L36" s="86"/>
      <c r="M36" s="86"/>
      <c r="N36" s="86"/>
      <c r="O36" s="77"/>
      <c r="P36" s="78">
        <f>SUMIFS('Product samples'!E:E, 'Product samples'!A:A, B36)</f>
        <v>0</v>
      </c>
      <c r="Q36" s="79">
        <f t="shared" si="1"/>
        <v>0</v>
      </c>
      <c r="R36" s="80">
        <f t="shared" si="2"/>
        <v>8.7100000000000007E-3</v>
      </c>
      <c r="S36" s="81">
        <f t="shared" si="3"/>
        <v>2.8201238000000002</v>
      </c>
      <c r="T36" s="82">
        <f t="shared" si="0"/>
        <v>1.0452000000000001E-2</v>
      </c>
      <c r="U36" s="83" t="str">
        <f t="shared" si="4"/>
        <v/>
      </c>
      <c r="V36" s="81" t="str">
        <f t="shared" si="5"/>
        <v/>
      </c>
      <c r="W36" s="81" t="str">
        <f t="shared" si="6"/>
        <v/>
      </c>
      <c r="X36" s="81" t="str">
        <f t="shared" si="7"/>
        <v/>
      </c>
      <c r="Y36" s="81" t="str">
        <f t="shared" si="8"/>
        <v/>
      </c>
      <c r="Z36" s="81" t="str">
        <f t="shared" si="9"/>
        <v/>
      </c>
      <c r="AA36" s="84" t="e">
        <f t="shared" si="10"/>
        <v>#VALUE!</v>
      </c>
      <c r="AB36" s="81" t="e">
        <f t="shared" si="11"/>
        <v>#VALUE!</v>
      </c>
      <c r="AC36" s="81" t="str">
        <f t="shared" si="12"/>
        <v/>
      </c>
      <c r="AD36" s="81" t="str">
        <f t="shared" si="13"/>
        <v/>
      </c>
      <c r="AE36" s="81" t="str">
        <f t="shared" si="14"/>
        <v/>
      </c>
      <c r="AF36" s="81" t="str">
        <f t="shared" si="15"/>
        <v/>
      </c>
      <c r="AG36" s="81" t="str">
        <f t="shared" si="16"/>
        <v/>
      </c>
      <c r="AH36" s="84" t="e">
        <f t="shared" si="17"/>
        <v>#VALUE!</v>
      </c>
      <c r="AI36" s="81" t="e">
        <f t="shared" si="18"/>
        <v>#VALUE!</v>
      </c>
      <c r="AJ36" s="81" t="str">
        <f t="shared" si="19"/>
        <v/>
      </c>
      <c r="AK36" s="81" t="str">
        <f t="shared" si="20"/>
        <v/>
      </c>
      <c r="AL36" s="81" t="str">
        <f t="shared" si="21"/>
        <v/>
      </c>
    </row>
    <row r="37" spans="1:38" x14ac:dyDescent="0.25">
      <c r="A37" s="119" t="s">
        <v>39</v>
      </c>
      <c r="B37" s="120"/>
      <c r="C37" s="120" t="s">
        <v>26</v>
      </c>
      <c r="D37" s="59" t="s">
        <v>41</v>
      </c>
      <c r="E37" s="59"/>
      <c r="F37" s="59"/>
      <c r="G37" s="77"/>
      <c r="H37" s="77">
        <v>768.8</v>
      </c>
      <c r="I37" s="77"/>
      <c r="J37" s="77">
        <v>5.0000000000000001E-3</v>
      </c>
      <c r="K37" s="77"/>
      <c r="L37" s="86"/>
      <c r="M37" s="86"/>
      <c r="N37" s="86"/>
      <c r="O37" s="77"/>
      <c r="P37" s="78">
        <f>SUMIFS('Product samples'!E:E, 'Product samples'!A:A, B37)</f>
        <v>0</v>
      </c>
      <c r="Q37" s="79">
        <f t="shared" si="1"/>
        <v>0</v>
      </c>
      <c r="R37" s="80">
        <f t="shared" si="2"/>
        <v>8.7100000000000007E-3</v>
      </c>
      <c r="S37" s="81">
        <f t="shared" si="3"/>
        <v>2.8201238000000002</v>
      </c>
      <c r="T37" s="82">
        <f t="shared" si="0"/>
        <v>4.3550000000000001E-5</v>
      </c>
      <c r="U37" s="83">
        <f t="shared" si="4"/>
        <v>3.3481240000000002E-2</v>
      </c>
      <c r="V37" s="81" t="str">
        <f t="shared" si="5"/>
        <v/>
      </c>
      <c r="W37" s="81" t="str">
        <f t="shared" si="6"/>
        <v/>
      </c>
      <c r="X37" s="81" t="str">
        <f t="shared" si="7"/>
        <v/>
      </c>
      <c r="Y37" s="81" t="str">
        <f t="shared" si="8"/>
        <v/>
      </c>
      <c r="Z37" s="81" t="str">
        <f t="shared" si="9"/>
        <v/>
      </c>
      <c r="AA37" s="84" t="e">
        <f t="shared" si="10"/>
        <v>#VALUE!</v>
      </c>
      <c r="AB37" s="81" t="e">
        <f t="shared" si="11"/>
        <v>#VALUE!</v>
      </c>
      <c r="AC37" s="81" t="str">
        <f t="shared" si="12"/>
        <v/>
      </c>
      <c r="AD37" s="81" t="str">
        <f t="shared" si="13"/>
        <v/>
      </c>
      <c r="AE37" s="81" t="str">
        <f t="shared" si="14"/>
        <v/>
      </c>
      <c r="AF37" s="81" t="str">
        <f t="shared" si="15"/>
        <v/>
      </c>
      <c r="AG37" s="81" t="str">
        <f t="shared" si="16"/>
        <v/>
      </c>
      <c r="AH37" s="84" t="e">
        <f t="shared" si="17"/>
        <v>#VALUE!</v>
      </c>
      <c r="AI37" s="81" t="e">
        <f t="shared" si="18"/>
        <v>#VALUE!</v>
      </c>
      <c r="AJ37" s="81" t="str">
        <f t="shared" si="19"/>
        <v/>
      </c>
      <c r="AK37" s="81" t="str">
        <f t="shared" si="20"/>
        <v/>
      </c>
      <c r="AL37" s="81" t="str">
        <f t="shared" si="21"/>
        <v/>
      </c>
    </row>
    <row r="38" spans="1:38" x14ac:dyDescent="0.25">
      <c r="A38" s="119" t="s">
        <v>39</v>
      </c>
      <c r="B38" s="120"/>
      <c r="C38" s="120" t="s">
        <v>26</v>
      </c>
      <c r="D38" s="60" t="s">
        <v>23</v>
      </c>
      <c r="E38" s="60"/>
      <c r="F38" s="60"/>
      <c r="G38" s="77"/>
      <c r="H38" s="77"/>
      <c r="I38" s="77"/>
      <c r="J38" s="77"/>
      <c r="K38" s="77">
        <v>6.5</v>
      </c>
      <c r="L38" s="86"/>
      <c r="M38" s="86"/>
      <c r="N38" s="86"/>
      <c r="O38" s="77"/>
      <c r="P38" s="78">
        <f>SUMIFS('Product samples'!E:E, 'Product samples'!A:A, B38)</f>
        <v>0</v>
      </c>
      <c r="Q38" s="79">
        <f t="shared" si="1"/>
        <v>0</v>
      </c>
      <c r="R38" s="80">
        <f t="shared" si="2"/>
        <v>8.7100000000000007E-3</v>
      </c>
      <c r="S38" s="81">
        <f t="shared" si="3"/>
        <v>2.8201238000000002</v>
      </c>
      <c r="T38" s="82" t="str">
        <f t="shared" si="0"/>
        <v/>
      </c>
      <c r="U38" s="83" t="str">
        <f t="shared" si="4"/>
        <v/>
      </c>
      <c r="V38" s="81">
        <f t="shared" si="5"/>
        <v>18.330804700000002</v>
      </c>
      <c r="W38" s="81" t="str">
        <f t="shared" si="6"/>
        <v/>
      </c>
      <c r="X38" s="81" t="str">
        <f t="shared" si="7"/>
        <v/>
      </c>
      <c r="Y38" s="81" t="str">
        <f t="shared" si="8"/>
        <v/>
      </c>
      <c r="Z38" s="81" t="str">
        <f t="shared" si="9"/>
        <v/>
      </c>
      <c r="AA38" s="84" t="str">
        <f t="shared" si="10"/>
        <v/>
      </c>
      <c r="AB38" s="81" t="str">
        <f t="shared" si="11"/>
        <v/>
      </c>
      <c r="AC38" s="81" t="str">
        <f t="shared" si="12"/>
        <v/>
      </c>
      <c r="AD38" s="81" t="str">
        <f t="shared" si="13"/>
        <v/>
      </c>
      <c r="AE38" s="81" t="str">
        <f t="shared" si="14"/>
        <v/>
      </c>
      <c r="AF38" s="81" t="str">
        <f t="shared" si="15"/>
        <v/>
      </c>
      <c r="AG38" s="81" t="str">
        <f t="shared" si="16"/>
        <v/>
      </c>
      <c r="AH38" s="84" t="str">
        <f t="shared" si="17"/>
        <v/>
      </c>
      <c r="AI38" s="81" t="str">
        <f t="shared" si="18"/>
        <v/>
      </c>
      <c r="AJ38" s="81" t="str">
        <f t="shared" si="19"/>
        <v/>
      </c>
      <c r="AK38" s="81" t="str">
        <f t="shared" si="20"/>
        <v/>
      </c>
      <c r="AL38" s="81" t="str">
        <f t="shared" si="21"/>
        <v/>
      </c>
    </row>
    <row r="39" spans="1:38" x14ac:dyDescent="0.25">
      <c r="A39" s="119" t="s">
        <v>39</v>
      </c>
      <c r="B39" s="120"/>
      <c r="C39" s="120" t="s">
        <v>26</v>
      </c>
      <c r="D39" s="59" t="s">
        <v>27</v>
      </c>
      <c r="E39" s="59"/>
      <c r="F39" s="59"/>
      <c r="G39" s="77"/>
      <c r="H39" s="77"/>
      <c r="I39" s="77"/>
      <c r="J39" s="77"/>
      <c r="K39" s="77">
        <v>1.2</v>
      </c>
      <c r="L39" s="86"/>
      <c r="M39" s="86"/>
      <c r="N39" s="86"/>
      <c r="O39" s="77"/>
      <c r="P39" s="78">
        <f>SUMIFS('Product samples'!E:E, 'Product samples'!A:A, B39)</f>
        <v>0</v>
      </c>
      <c r="Q39" s="79">
        <f t="shared" si="1"/>
        <v>0</v>
      </c>
      <c r="R39" s="80">
        <f t="shared" si="2"/>
        <v>8.7100000000000007E-3</v>
      </c>
      <c r="S39" s="81">
        <f t="shared" si="3"/>
        <v>2.8201238000000002</v>
      </c>
      <c r="T39" s="82" t="str">
        <f t="shared" si="0"/>
        <v/>
      </c>
      <c r="U39" s="83" t="str">
        <f t="shared" si="4"/>
        <v/>
      </c>
      <c r="V39" s="81">
        <f t="shared" si="5"/>
        <v>3.3841485600000003</v>
      </c>
      <c r="W39" s="81" t="str">
        <f t="shared" si="6"/>
        <v/>
      </c>
      <c r="X39" s="81" t="str">
        <f t="shared" si="7"/>
        <v/>
      </c>
      <c r="Y39" s="81" t="str">
        <f t="shared" si="8"/>
        <v/>
      </c>
      <c r="Z39" s="81" t="str">
        <f t="shared" si="9"/>
        <v/>
      </c>
      <c r="AA39" s="84" t="str">
        <f t="shared" si="10"/>
        <v/>
      </c>
      <c r="AB39" s="81" t="str">
        <f t="shared" si="11"/>
        <v/>
      </c>
      <c r="AC39" s="81" t="str">
        <f t="shared" si="12"/>
        <v/>
      </c>
      <c r="AD39" s="81" t="str">
        <f t="shared" si="13"/>
        <v/>
      </c>
      <c r="AE39" s="81" t="str">
        <f t="shared" si="14"/>
        <v/>
      </c>
      <c r="AF39" s="81" t="str">
        <f t="shared" si="15"/>
        <v/>
      </c>
      <c r="AG39" s="81" t="str">
        <f t="shared" si="16"/>
        <v/>
      </c>
      <c r="AH39" s="84" t="str">
        <f t="shared" si="17"/>
        <v/>
      </c>
      <c r="AI39" s="81" t="str">
        <f t="shared" si="18"/>
        <v/>
      </c>
      <c r="AJ39" s="81" t="str">
        <f t="shared" si="19"/>
        <v/>
      </c>
      <c r="AK39" s="81" t="str">
        <f t="shared" si="20"/>
        <v/>
      </c>
      <c r="AL39" s="81" t="str">
        <f t="shared" si="21"/>
        <v/>
      </c>
    </row>
    <row r="40" spans="1:38" x14ac:dyDescent="0.25">
      <c r="A40" s="119" t="s">
        <v>39</v>
      </c>
      <c r="B40" s="120"/>
      <c r="C40" s="120" t="s">
        <v>26</v>
      </c>
      <c r="D40" s="60" t="s">
        <v>42</v>
      </c>
      <c r="E40" s="60"/>
      <c r="F40" s="60"/>
      <c r="G40" s="77"/>
      <c r="H40" s="77">
        <v>230.27</v>
      </c>
      <c r="I40" s="77"/>
      <c r="J40" s="77">
        <v>1.94</v>
      </c>
      <c r="K40" s="77"/>
      <c r="L40" s="86"/>
      <c r="M40" s="86"/>
      <c r="N40" s="86"/>
      <c r="O40" s="77"/>
      <c r="P40" s="78">
        <f>SUMIFS('Product samples'!E:E, 'Product samples'!A:A, B40)</f>
        <v>0</v>
      </c>
      <c r="Q40" s="79">
        <f t="shared" si="1"/>
        <v>0</v>
      </c>
      <c r="R40" s="80">
        <f t="shared" si="2"/>
        <v>8.7100000000000007E-3</v>
      </c>
      <c r="S40" s="81">
        <f t="shared" si="3"/>
        <v>2.8201238000000002</v>
      </c>
      <c r="T40" s="82">
        <f t="shared" si="0"/>
        <v>1.68974E-2</v>
      </c>
      <c r="U40" s="83">
        <f t="shared" si="4"/>
        <v>3.8909642980000001</v>
      </c>
      <c r="V40" s="81" t="str">
        <f t="shared" si="5"/>
        <v/>
      </c>
      <c r="W40" s="81" t="str">
        <f t="shared" si="6"/>
        <v/>
      </c>
      <c r="X40" s="81" t="str">
        <f t="shared" si="7"/>
        <v/>
      </c>
      <c r="Y40" s="81" t="str">
        <f t="shared" si="8"/>
        <v/>
      </c>
      <c r="Z40" s="81" t="str">
        <f t="shared" si="9"/>
        <v/>
      </c>
      <c r="AA40" s="84" t="e">
        <f t="shared" si="10"/>
        <v>#VALUE!</v>
      </c>
      <c r="AB40" s="81" t="e">
        <f t="shared" si="11"/>
        <v>#VALUE!</v>
      </c>
      <c r="AC40" s="81" t="str">
        <f t="shared" si="12"/>
        <v/>
      </c>
      <c r="AD40" s="81" t="str">
        <f t="shared" si="13"/>
        <v/>
      </c>
      <c r="AE40" s="81" t="str">
        <f t="shared" si="14"/>
        <v/>
      </c>
      <c r="AF40" s="81" t="str">
        <f t="shared" si="15"/>
        <v/>
      </c>
      <c r="AG40" s="81" t="str">
        <f t="shared" si="16"/>
        <v/>
      </c>
      <c r="AH40" s="84" t="e">
        <f t="shared" si="17"/>
        <v>#VALUE!</v>
      </c>
      <c r="AI40" s="81" t="e">
        <f t="shared" si="18"/>
        <v>#VALUE!</v>
      </c>
      <c r="AJ40" s="81" t="str">
        <f t="shared" si="19"/>
        <v/>
      </c>
      <c r="AK40" s="81" t="str">
        <f t="shared" si="20"/>
        <v/>
      </c>
      <c r="AL40" s="81" t="str">
        <f t="shared" si="21"/>
        <v/>
      </c>
    </row>
    <row r="41" spans="1:38" x14ac:dyDescent="0.25">
      <c r="A41" s="119" t="s">
        <v>39</v>
      </c>
      <c r="B41" s="120"/>
      <c r="C41" s="120" t="s">
        <v>26</v>
      </c>
      <c r="D41" s="59" t="s">
        <v>27</v>
      </c>
      <c r="E41" s="59"/>
      <c r="F41" s="59"/>
      <c r="G41" s="77"/>
      <c r="H41" s="77"/>
      <c r="I41" s="77"/>
      <c r="J41" s="77">
        <v>7.1</v>
      </c>
      <c r="K41" s="77"/>
      <c r="L41" s="86"/>
      <c r="M41" s="86"/>
      <c r="N41" s="86"/>
      <c r="O41" s="77"/>
      <c r="P41" s="78">
        <f>SUMIFS('Product samples'!E:E, 'Product samples'!A:A, B41)</f>
        <v>0</v>
      </c>
      <c r="Q41" s="79">
        <f t="shared" si="1"/>
        <v>0</v>
      </c>
      <c r="R41" s="80">
        <f t="shared" si="2"/>
        <v>8.7100000000000007E-3</v>
      </c>
      <c r="S41" s="81">
        <f t="shared" si="3"/>
        <v>2.8201238000000002</v>
      </c>
      <c r="T41" s="82">
        <f t="shared" si="0"/>
        <v>6.1841E-2</v>
      </c>
      <c r="U41" s="83" t="str">
        <f t="shared" si="4"/>
        <v/>
      </c>
      <c r="V41" s="81" t="str">
        <f t="shared" si="5"/>
        <v/>
      </c>
      <c r="W41" s="81" t="str">
        <f t="shared" si="6"/>
        <v/>
      </c>
      <c r="X41" s="81" t="str">
        <f t="shared" si="7"/>
        <v/>
      </c>
      <c r="Y41" s="81" t="str">
        <f t="shared" si="8"/>
        <v/>
      </c>
      <c r="Z41" s="81" t="str">
        <f t="shared" si="9"/>
        <v/>
      </c>
      <c r="AA41" s="84" t="e">
        <f t="shared" si="10"/>
        <v>#VALUE!</v>
      </c>
      <c r="AB41" s="81" t="e">
        <f t="shared" si="11"/>
        <v>#VALUE!</v>
      </c>
      <c r="AC41" s="81" t="str">
        <f t="shared" si="12"/>
        <v/>
      </c>
      <c r="AD41" s="81" t="str">
        <f t="shared" si="13"/>
        <v/>
      </c>
      <c r="AE41" s="81" t="str">
        <f t="shared" si="14"/>
        <v/>
      </c>
      <c r="AF41" s="81" t="str">
        <f t="shared" si="15"/>
        <v/>
      </c>
      <c r="AG41" s="81" t="str">
        <f t="shared" si="16"/>
        <v/>
      </c>
      <c r="AH41" s="84" t="e">
        <f t="shared" si="17"/>
        <v>#VALUE!</v>
      </c>
      <c r="AI41" s="81" t="e">
        <f t="shared" si="18"/>
        <v>#VALUE!</v>
      </c>
      <c r="AJ41" s="81" t="str">
        <f t="shared" si="19"/>
        <v/>
      </c>
      <c r="AK41" s="81" t="str">
        <f t="shared" si="20"/>
        <v/>
      </c>
      <c r="AL41" s="81" t="str">
        <f t="shared" si="21"/>
        <v/>
      </c>
    </row>
    <row r="42" spans="1:38" x14ac:dyDescent="0.25">
      <c r="A42" s="119" t="s">
        <v>39</v>
      </c>
      <c r="B42" s="120"/>
      <c r="C42" s="120" t="s">
        <v>26</v>
      </c>
      <c r="D42" s="60" t="s">
        <v>43</v>
      </c>
      <c r="E42" s="60"/>
      <c r="F42" s="60"/>
      <c r="G42" s="77"/>
      <c r="H42" s="77"/>
      <c r="I42" s="77"/>
      <c r="J42" s="77">
        <v>5.5</v>
      </c>
      <c r="K42" s="77"/>
      <c r="L42" s="86"/>
      <c r="M42" s="86"/>
      <c r="N42" s="86"/>
      <c r="O42" s="77"/>
      <c r="P42" s="78">
        <f>SUMIFS('Product samples'!E:E, 'Product samples'!A:A, B42)</f>
        <v>0</v>
      </c>
      <c r="Q42" s="79">
        <f t="shared" si="1"/>
        <v>0</v>
      </c>
      <c r="R42" s="80">
        <f t="shared" si="2"/>
        <v>8.7100000000000007E-3</v>
      </c>
      <c r="S42" s="81">
        <f t="shared" si="3"/>
        <v>2.8201238000000002</v>
      </c>
      <c r="T42" s="82">
        <f t="shared" si="0"/>
        <v>4.7905000000000003E-2</v>
      </c>
      <c r="U42" s="83" t="str">
        <f t="shared" si="4"/>
        <v/>
      </c>
      <c r="V42" s="81" t="str">
        <f t="shared" si="5"/>
        <v/>
      </c>
      <c r="W42" s="81" t="str">
        <f t="shared" si="6"/>
        <v/>
      </c>
      <c r="X42" s="81" t="str">
        <f t="shared" si="7"/>
        <v/>
      </c>
      <c r="Y42" s="81" t="str">
        <f t="shared" si="8"/>
        <v/>
      </c>
      <c r="Z42" s="81" t="str">
        <f t="shared" si="9"/>
        <v/>
      </c>
      <c r="AA42" s="84" t="e">
        <f t="shared" si="10"/>
        <v>#VALUE!</v>
      </c>
      <c r="AB42" s="81" t="e">
        <f t="shared" si="11"/>
        <v>#VALUE!</v>
      </c>
      <c r="AC42" s="81" t="str">
        <f t="shared" si="12"/>
        <v/>
      </c>
      <c r="AD42" s="81" t="str">
        <f t="shared" si="13"/>
        <v/>
      </c>
      <c r="AE42" s="81" t="str">
        <f t="shared" si="14"/>
        <v/>
      </c>
      <c r="AF42" s="81" t="str">
        <f t="shared" si="15"/>
        <v/>
      </c>
      <c r="AG42" s="81" t="str">
        <f t="shared" si="16"/>
        <v/>
      </c>
      <c r="AH42" s="84" t="e">
        <f t="shared" si="17"/>
        <v>#VALUE!</v>
      </c>
      <c r="AI42" s="81" t="e">
        <f t="shared" si="18"/>
        <v>#VALUE!</v>
      </c>
      <c r="AJ42" s="81" t="str">
        <f t="shared" si="19"/>
        <v/>
      </c>
      <c r="AK42" s="81" t="str">
        <f t="shared" si="20"/>
        <v/>
      </c>
      <c r="AL42" s="81" t="str">
        <f t="shared" si="21"/>
        <v/>
      </c>
    </row>
    <row r="43" spans="1:38" x14ac:dyDescent="0.25">
      <c r="A43" s="119" t="s">
        <v>39</v>
      </c>
      <c r="B43" s="120" t="s">
        <v>40</v>
      </c>
      <c r="C43" s="120" t="s">
        <v>26</v>
      </c>
      <c r="D43" s="59" t="s">
        <v>40</v>
      </c>
      <c r="E43" s="59"/>
      <c r="F43" s="59"/>
      <c r="G43" s="77"/>
      <c r="H43" s="77">
        <v>291.36</v>
      </c>
      <c r="I43" s="77"/>
      <c r="J43" s="77"/>
      <c r="K43" s="77"/>
      <c r="L43" s="86"/>
      <c r="M43" s="86">
        <v>0.9</v>
      </c>
      <c r="N43" s="86">
        <v>0.94</v>
      </c>
      <c r="O43" s="77">
        <v>0.94</v>
      </c>
      <c r="P43" s="78">
        <f>SUMIFS('Product samples'!E:E, 'Product samples'!A:A, B43)</f>
        <v>0</v>
      </c>
      <c r="Q43" s="79">
        <f t="shared" si="1"/>
        <v>0</v>
      </c>
      <c r="R43" s="80">
        <f t="shared" si="2"/>
        <v>8.7100000000000007E-3</v>
      </c>
      <c r="S43" s="81">
        <f t="shared" si="3"/>
        <v>2.8201238000000002</v>
      </c>
      <c r="T43" s="82">
        <f t="shared" si="0"/>
        <v>8.1874000000000009E-3</v>
      </c>
      <c r="U43" s="83">
        <f t="shared" si="4"/>
        <v>2.3854808640000003</v>
      </c>
      <c r="V43" s="81" t="str">
        <f t="shared" si="5"/>
        <v/>
      </c>
      <c r="W43" s="81">
        <f t="shared" si="6"/>
        <v>8.1874000000000009E-3</v>
      </c>
      <c r="X43" s="81">
        <f t="shared" si="7"/>
        <v>2.3854808640000003</v>
      </c>
      <c r="Y43" s="81" t="str">
        <f t="shared" si="8"/>
        <v/>
      </c>
      <c r="Z43" s="81" t="str">
        <f t="shared" si="9"/>
        <v/>
      </c>
      <c r="AA43" s="84" t="e">
        <f t="shared" si="10"/>
        <v>#VALUE!</v>
      </c>
      <c r="AB43" s="81" t="e">
        <f t="shared" si="11"/>
        <v>#VALUE!</v>
      </c>
      <c r="AC43" s="81" t="str">
        <f t="shared" si="12"/>
        <v/>
      </c>
      <c r="AD43" s="81" t="str">
        <f t="shared" si="13"/>
        <v/>
      </c>
      <c r="AE43" s="81" t="str">
        <f t="shared" si="14"/>
        <v/>
      </c>
      <c r="AF43" s="81" t="str">
        <f t="shared" si="15"/>
        <v/>
      </c>
      <c r="AG43" s="81" t="str">
        <f t="shared" si="16"/>
        <v/>
      </c>
      <c r="AH43" s="84" t="e">
        <f t="shared" si="17"/>
        <v>#VALUE!</v>
      </c>
      <c r="AI43" s="81" t="e">
        <f t="shared" si="18"/>
        <v>#VALUE!</v>
      </c>
      <c r="AJ43" s="81" t="str">
        <f t="shared" si="19"/>
        <v/>
      </c>
      <c r="AK43" s="81" t="str">
        <f t="shared" si="20"/>
        <v/>
      </c>
      <c r="AL43" s="81" t="str">
        <f t="shared" si="21"/>
        <v/>
      </c>
    </row>
    <row r="44" spans="1:38" x14ac:dyDescent="0.25">
      <c r="A44" s="119"/>
      <c r="B44" s="120"/>
      <c r="C44" s="120"/>
      <c r="D44" s="60"/>
      <c r="E44" s="60"/>
      <c r="F44" s="60"/>
      <c r="G44" s="77"/>
      <c r="H44" s="77"/>
      <c r="I44" s="77"/>
      <c r="J44" s="77"/>
      <c r="K44" s="77"/>
      <c r="L44" s="86"/>
      <c r="M44" s="86"/>
      <c r="N44" s="86"/>
      <c r="O44" s="77"/>
      <c r="P44" s="78">
        <f>SUMIFS('Product samples'!E:E, 'Product samples'!A:A, B44)</f>
        <v>0</v>
      </c>
      <c r="Q44" s="79">
        <f t="shared" si="1"/>
        <v>0</v>
      </c>
      <c r="R44" s="80" t="str">
        <f t="shared" si="2"/>
        <v/>
      </c>
      <c r="S44" s="81" t="str">
        <f t="shared" si="3"/>
        <v/>
      </c>
      <c r="T44" s="82" t="str">
        <f t="shared" si="0"/>
        <v/>
      </c>
      <c r="U44" s="83" t="str">
        <f t="shared" si="4"/>
        <v/>
      </c>
      <c r="V44" s="81" t="str">
        <f t="shared" si="5"/>
        <v/>
      </c>
      <c r="W44" s="81" t="str">
        <f t="shared" si="6"/>
        <v/>
      </c>
      <c r="X44" s="81" t="str">
        <f t="shared" si="7"/>
        <v/>
      </c>
      <c r="Y44" s="81" t="str">
        <f t="shared" si="8"/>
        <v/>
      </c>
      <c r="Z44" s="81" t="str">
        <f t="shared" si="9"/>
        <v/>
      </c>
      <c r="AA44" s="84" t="str">
        <f t="shared" si="10"/>
        <v/>
      </c>
      <c r="AB44" s="81" t="str">
        <f t="shared" si="11"/>
        <v/>
      </c>
      <c r="AC44" s="81" t="str">
        <f t="shared" si="12"/>
        <v/>
      </c>
      <c r="AD44" s="81" t="str">
        <f t="shared" si="13"/>
        <v/>
      </c>
      <c r="AE44" s="81" t="str">
        <f t="shared" si="14"/>
        <v/>
      </c>
      <c r="AF44" s="81" t="str">
        <f t="shared" si="15"/>
        <v/>
      </c>
      <c r="AG44" s="81" t="str">
        <f t="shared" si="16"/>
        <v/>
      </c>
      <c r="AH44" s="84" t="str">
        <f t="shared" si="17"/>
        <v/>
      </c>
      <c r="AI44" s="81" t="str">
        <f t="shared" si="18"/>
        <v/>
      </c>
      <c r="AJ44" s="81" t="str">
        <f t="shared" si="19"/>
        <v/>
      </c>
      <c r="AK44" s="81" t="str">
        <f t="shared" si="20"/>
        <v/>
      </c>
      <c r="AL44" s="81" t="str">
        <f t="shared" si="21"/>
        <v/>
      </c>
    </row>
    <row r="45" spans="1:38" x14ac:dyDescent="0.25">
      <c r="A45" s="119" t="s">
        <v>44</v>
      </c>
      <c r="B45" s="120"/>
      <c r="C45" s="120" t="s">
        <v>40</v>
      </c>
      <c r="D45" s="116" t="s">
        <v>40</v>
      </c>
      <c r="E45" s="59"/>
      <c r="F45" s="59"/>
      <c r="G45" s="77"/>
      <c r="H45" s="77"/>
      <c r="I45" s="77"/>
      <c r="J45" s="77"/>
      <c r="K45" s="77"/>
      <c r="L45" s="86"/>
      <c r="M45" s="86"/>
      <c r="N45" s="86"/>
      <c r="O45" s="77"/>
      <c r="P45" s="78">
        <f>SUMIFS('Product samples'!E:E, 'Product samples'!A:A, B45)</f>
        <v>0</v>
      </c>
      <c r="Q45" s="79">
        <f t="shared" si="1"/>
        <v>0</v>
      </c>
      <c r="R45" s="80">
        <f t="shared" si="2"/>
        <v>8.1874000000000009E-3</v>
      </c>
      <c r="S45" s="81">
        <f t="shared" si="3"/>
        <v>2.3854808640000003</v>
      </c>
      <c r="T45" s="82">
        <f t="shared" si="0"/>
        <v>8.1874000000000009E-3</v>
      </c>
      <c r="U45" s="83" t="str">
        <f t="shared" si="4"/>
        <v/>
      </c>
      <c r="V45" s="81" t="str">
        <f t="shared" si="5"/>
        <v/>
      </c>
      <c r="W45" s="81" t="str">
        <f t="shared" si="6"/>
        <v/>
      </c>
      <c r="X45" s="81" t="str">
        <f t="shared" si="7"/>
        <v/>
      </c>
      <c r="Y45" s="81" t="str">
        <f t="shared" si="8"/>
        <v/>
      </c>
      <c r="Z45" s="81" t="str">
        <f t="shared" si="9"/>
        <v/>
      </c>
      <c r="AA45" s="84" t="str">
        <f t="shared" si="10"/>
        <v/>
      </c>
      <c r="AB45" s="81" t="str">
        <f t="shared" si="11"/>
        <v/>
      </c>
      <c r="AC45" s="81" t="str">
        <f t="shared" si="12"/>
        <v/>
      </c>
      <c r="AD45" s="81" t="str">
        <f t="shared" si="13"/>
        <v/>
      </c>
      <c r="AE45" s="81" t="str">
        <f t="shared" si="14"/>
        <v/>
      </c>
      <c r="AF45" s="81" t="str">
        <f t="shared" si="15"/>
        <v/>
      </c>
      <c r="AG45" s="81" t="str">
        <f t="shared" si="16"/>
        <v/>
      </c>
      <c r="AH45" s="84" t="str">
        <f t="shared" si="17"/>
        <v/>
      </c>
      <c r="AI45" s="81" t="str">
        <f t="shared" si="18"/>
        <v/>
      </c>
      <c r="AJ45" s="81" t="str">
        <f t="shared" si="19"/>
        <v/>
      </c>
      <c r="AK45" s="81" t="str">
        <f t="shared" si="20"/>
        <v/>
      </c>
      <c r="AL45" s="81" t="str">
        <f t="shared" si="21"/>
        <v/>
      </c>
    </row>
    <row r="46" spans="1:38" x14ac:dyDescent="0.25">
      <c r="A46" s="119" t="s">
        <v>44</v>
      </c>
      <c r="B46" s="120"/>
      <c r="C46" s="120" t="s">
        <v>40</v>
      </c>
      <c r="D46" s="60" t="s">
        <v>46</v>
      </c>
      <c r="E46" s="60"/>
      <c r="F46" s="60"/>
      <c r="G46" s="77"/>
      <c r="H46" s="77"/>
      <c r="I46" s="77"/>
      <c r="J46" s="77"/>
      <c r="K46" s="77">
        <v>0.1</v>
      </c>
      <c r="L46" s="86"/>
      <c r="M46" s="86"/>
      <c r="N46" s="86"/>
      <c r="O46" s="77"/>
      <c r="P46" s="78">
        <f>SUMIFS('Product samples'!E:E, 'Product samples'!A:A, B46)</f>
        <v>0</v>
      </c>
      <c r="Q46" s="79">
        <f t="shared" si="1"/>
        <v>0</v>
      </c>
      <c r="R46" s="80">
        <f t="shared" si="2"/>
        <v>8.1874000000000009E-3</v>
      </c>
      <c r="S46" s="81">
        <f t="shared" si="3"/>
        <v>2.3854808640000003</v>
      </c>
      <c r="T46" s="82" t="str">
        <f t="shared" si="0"/>
        <v/>
      </c>
      <c r="U46" s="83" t="str">
        <f t="shared" si="4"/>
        <v/>
      </c>
      <c r="V46" s="81">
        <f t="shared" si="5"/>
        <v>0.23854808640000003</v>
      </c>
      <c r="W46" s="81" t="str">
        <f t="shared" si="6"/>
        <v/>
      </c>
      <c r="X46" s="81" t="str">
        <f t="shared" si="7"/>
        <v/>
      </c>
      <c r="Y46" s="81" t="str">
        <f t="shared" si="8"/>
        <v/>
      </c>
      <c r="Z46" s="81" t="str">
        <f t="shared" si="9"/>
        <v/>
      </c>
      <c r="AA46" s="84" t="str">
        <f t="shared" si="10"/>
        <v/>
      </c>
      <c r="AB46" s="81" t="str">
        <f t="shared" si="11"/>
        <v/>
      </c>
      <c r="AC46" s="81" t="str">
        <f t="shared" si="12"/>
        <v/>
      </c>
      <c r="AD46" s="81" t="str">
        <f t="shared" si="13"/>
        <v/>
      </c>
      <c r="AE46" s="81" t="str">
        <f t="shared" si="14"/>
        <v/>
      </c>
      <c r="AF46" s="81" t="str">
        <f t="shared" si="15"/>
        <v/>
      </c>
      <c r="AG46" s="81" t="str">
        <f t="shared" si="16"/>
        <v/>
      </c>
      <c r="AH46" s="84" t="str">
        <f t="shared" si="17"/>
        <v/>
      </c>
      <c r="AI46" s="81" t="str">
        <f t="shared" si="18"/>
        <v/>
      </c>
      <c r="AJ46" s="81" t="str">
        <f t="shared" si="19"/>
        <v/>
      </c>
      <c r="AK46" s="81" t="str">
        <f t="shared" si="20"/>
        <v/>
      </c>
      <c r="AL46" s="81" t="str">
        <f t="shared" si="21"/>
        <v/>
      </c>
    </row>
    <row r="47" spans="1:38" x14ac:dyDescent="0.25">
      <c r="A47" s="119" t="s">
        <v>44</v>
      </c>
      <c r="B47" s="120"/>
      <c r="C47" s="120" t="s">
        <v>40</v>
      </c>
      <c r="D47" s="59" t="s">
        <v>27</v>
      </c>
      <c r="E47" s="59"/>
      <c r="F47" s="59"/>
      <c r="G47" s="77"/>
      <c r="H47" s="77"/>
      <c r="I47" s="77"/>
      <c r="J47" s="77"/>
      <c r="K47" s="77">
        <v>1</v>
      </c>
      <c r="L47" s="86"/>
      <c r="M47" s="86"/>
      <c r="N47" s="86"/>
      <c r="O47" s="77"/>
      <c r="P47" s="78">
        <f>SUMIFS('Product samples'!E:E, 'Product samples'!A:A, B47)</f>
        <v>0</v>
      </c>
      <c r="Q47" s="79">
        <f t="shared" si="1"/>
        <v>0</v>
      </c>
      <c r="R47" s="80">
        <f t="shared" si="2"/>
        <v>8.1874000000000009E-3</v>
      </c>
      <c r="S47" s="81">
        <f t="shared" si="3"/>
        <v>2.3854808640000003</v>
      </c>
      <c r="T47" s="82" t="str">
        <f t="shared" si="0"/>
        <v/>
      </c>
      <c r="U47" s="83" t="str">
        <f t="shared" si="4"/>
        <v/>
      </c>
      <c r="V47" s="81">
        <f t="shared" si="5"/>
        <v>2.3854808640000003</v>
      </c>
      <c r="W47" s="81" t="str">
        <f t="shared" si="6"/>
        <v/>
      </c>
      <c r="X47" s="81" t="str">
        <f t="shared" si="7"/>
        <v/>
      </c>
      <c r="Y47" s="81" t="str">
        <f t="shared" si="8"/>
        <v/>
      </c>
      <c r="Z47" s="81" t="str">
        <f t="shared" si="9"/>
        <v/>
      </c>
      <c r="AA47" s="84" t="str">
        <f t="shared" si="10"/>
        <v/>
      </c>
      <c r="AB47" s="81" t="str">
        <f t="shared" si="11"/>
        <v/>
      </c>
      <c r="AC47" s="81" t="str">
        <f t="shared" si="12"/>
        <v/>
      </c>
      <c r="AD47" s="81" t="str">
        <f t="shared" si="13"/>
        <v/>
      </c>
      <c r="AE47" s="81" t="str">
        <f t="shared" si="14"/>
        <v/>
      </c>
      <c r="AF47" s="81" t="str">
        <f t="shared" si="15"/>
        <v/>
      </c>
      <c r="AG47" s="81" t="str">
        <f t="shared" si="16"/>
        <v/>
      </c>
      <c r="AH47" s="84" t="str">
        <f t="shared" si="17"/>
        <v/>
      </c>
      <c r="AI47" s="81" t="str">
        <f t="shared" si="18"/>
        <v/>
      </c>
      <c r="AJ47" s="81" t="str">
        <f t="shared" si="19"/>
        <v/>
      </c>
      <c r="AK47" s="81" t="str">
        <f t="shared" si="20"/>
        <v/>
      </c>
      <c r="AL47" s="81" t="str">
        <f t="shared" si="21"/>
        <v/>
      </c>
    </row>
    <row r="48" spans="1:38" x14ac:dyDescent="0.25">
      <c r="A48" s="119" t="s">
        <v>44</v>
      </c>
      <c r="B48" s="120"/>
      <c r="C48" s="120" t="s">
        <v>40</v>
      </c>
      <c r="D48" s="60" t="s">
        <v>47</v>
      </c>
      <c r="E48" s="60"/>
      <c r="F48" s="60"/>
      <c r="G48" s="77"/>
      <c r="H48" s="77"/>
      <c r="I48" s="77"/>
      <c r="J48" s="77"/>
      <c r="K48" s="77">
        <v>7.5</v>
      </c>
      <c r="L48" s="86"/>
      <c r="M48" s="86"/>
      <c r="N48" s="86"/>
      <c r="O48" s="77"/>
      <c r="P48" s="78">
        <f>SUMIFS('Product samples'!E:E, 'Product samples'!A:A, B48)</f>
        <v>0</v>
      </c>
      <c r="Q48" s="79">
        <f t="shared" si="1"/>
        <v>0</v>
      </c>
      <c r="R48" s="80">
        <f t="shared" si="2"/>
        <v>8.1874000000000009E-3</v>
      </c>
      <c r="S48" s="81">
        <f t="shared" si="3"/>
        <v>2.3854808640000003</v>
      </c>
      <c r="T48" s="82" t="str">
        <f t="shared" si="0"/>
        <v/>
      </c>
      <c r="U48" s="83" t="str">
        <f t="shared" si="4"/>
        <v/>
      </c>
      <c r="V48" s="81">
        <f t="shared" si="5"/>
        <v>17.891106480000001</v>
      </c>
      <c r="W48" s="81" t="str">
        <f t="shared" si="6"/>
        <v/>
      </c>
      <c r="X48" s="81" t="str">
        <f t="shared" si="7"/>
        <v/>
      </c>
      <c r="Y48" s="81" t="str">
        <f t="shared" si="8"/>
        <v/>
      </c>
      <c r="Z48" s="81" t="str">
        <f t="shared" si="9"/>
        <v/>
      </c>
      <c r="AA48" s="84" t="str">
        <f t="shared" si="10"/>
        <v/>
      </c>
      <c r="AB48" s="81" t="str">
        <f t="shared" si="11"/>
        <v/>
      </c>
      <c r="AC48" s="81" t="str">
        <f t="shared" si="12"/>
        <v/>
      </c>
      <c r="AD48" s="81" t="str">
        <f t="shared" si="13"/>
        <v/>
      </c>
      <c r="AE48" s="81" t="str">
        <f t="shared" si="14"/>
        <v/>
      </c>
      <c r="AF48" s="81" t="str">
        <f t="shared" si="15"/>
        <v/>
      </c>
      <c r="AG48" s="81" t="str">
        <f t="shared" si="16"/>
        <v/>
      </c>
      <c r="AH48" s="84" t="str">
        <f t="shared" si="17"/>
        <v/>
      </c>
      <c r="AI48" s="81" t="str">
        <f t="shared" si="18"/>
        <v/>
      </c>
      <c r="AJ48" s="81" t="str">
        <f t="shared" si="19"/>
        <v/>
      </c>
      <c r="AK48" s="81" t="str">
        <f t="shared" si="20"/>
        <v/>
      </c>
      <c r="AL48" s="81" t="str">
        <f t="shared" si="21"/>
        <v/>
      </c>
    </row>
    <row r="49" spans="1:38" x14ac:dyDescent="0.25">
      <c r="A49" s="119" t="s">
        <v>44</v>
      </c>
      <c r="B49" s="120"/>
      <c r="C49" s="120" t="s">
        <v>40</v>
      </c>
      <c r="D49" s="59" t="s">
        <v>48</v>
      </c>
      <c r="E49" s="59"/>
      <c r="F49" s="59"/>
      <c r="G49" s="77"/>
      <c r="H49" s="77"/>
      <c r="I49" s="77"/>
      <c r="J49" s="77"/>
      <c r="K49" s="77">
        <v>0.9</v>
      </c>
      <c r="L49" s="86"/>
      <c r="M49" s="86"/>
      <c r="N49" s="86"/>
      <c r="O49" s="77"/>
      <c r="P49" s="78">
        <f>SUMIFS('Product samples'!E:E, 'Product samples'!A:A, B49)</f>
        <v>0</v>
      </c>
      <c r="Q49" s="79">
        <f t="shared" si="1"/>
        <v>0</v>
      </c>
      <c r="R49" s="80">
        <f t="shared" si="2"/>
        <v>8.1874000000000009E-3</v>
      </c>
      <c r="S49" s="81">
        <f t="shared" si="3"/>
        <v>2.3854808640000003</v>
      </c>
      <c r="T49" s="82" t="str">
        <f t="shared" si="0"/>
        <v/>
      </c>
      <c r="U49" s="83" t="str">
        <f t="shared" si="4"/>
        <v/>
      </c>
      <c r="V49" s="81">
        <f t="shared" si="5"/>
        <v>2.1469327776000005</v>
      </c>
      <c r="W49" s="81" t="str">
        <f t="shared" si="6"/>
        <v/>
      </c>
      <c r="X49" s="81" t="str">
        <f t="shared" si="7"/>
        <v/>
      </c>
      <c r="Y49" s="81" t="str">
        <f t="shared" si="8"/>
        <v/>
      </c>
      <c r="Z49" s="81" t="str">
        <f t="shared" si="9"/>
        <v/>
      </c>
      <c r="AA49" s="84" t="str">
        <f t="shared" si="10"/>
        <v/>
      </c>
      <c r="AB49" s="81" t="str">
        <f t="shared" si="11"/>
        <v/>
      </c>
      <c r="AC49" s="81" t="str">
        <f t="shared" si="12"/>
        <v/>
      </c>
      <c r="AD49" s="81" t="str">
        <f t="shared" si="13"/>
        <v/>
      </c>
      <c r="AE49" s="81" t="str">
        <f t="shared" si="14"/>
        <v/>
      </c>
      <c r="AF49" s="81" t="str">
        <f t="shared" si="15"/>
        <v/>
      </c>
      <c r="AG49" s="81" t="str">
        <f t="shared" si="16"/>
        <v/>
      </c>
      <c r="AH49" s="84" t="str">
        <f t="shared" si="17"/>
        <v/>
      </c>
      <c r="AI49" s="81" t="str">
        <f t="shared" si="18"/>
        <v/>
      </c>
      <c r="AJ49" s="81" t="str">
        <f t="shared" si="19"/>
        <v/>
      </c>
      <c r="AK49" s="81" t="str">
        <f t="shared" si="20"/>
        <v/>
      </c>
      <c r="AL49" s="81" t="str">
        <f t="shared" si="21"/>
        <v/>
      </c>
    </row>
    <row r="50" spans="1:38" x14ac:dyDescent="0.25">
      <c r="A50" s="119" t="s">
        <v>44</v>
      </c>
      <c r="B50" s="120"/>
      <c r="C50" s="120" t="s">
        <v>40</v>
      </c>
      <c r="D50" s="60" t="s">
        <v>49</v>
      </c>
      <c r="E50" s="60"/>
      <c r="F50" s="60"/>
      <c r="G50" s="77"/>
      <c r="H50" s="77"/>
      <c r="I50" s="77"/>
      <c r="J50" s="77"/>
      <c r="K50" s="77">
        <v>1.0999999999999999E-2</v>
      </c>
      <c r="L50" s="86"/>
      <c r="M50" s="86"/>
      <c r="N50" s="86"/>
      <c r="O50" s="77"/>
      <c r="P50" s="78">
        <f>SUMIFS('Product samples'!E:E, 'Product samples'!A:A, B50)</f>
        <v>0</v>
      </c>
      <c r="Q50" s="79">
        <f t="shared" si="1"/>
        <v>0</v>
      </c>
      <c r="R50" s="80">
        <f t="shared" si="2"/>
        <v>8.1874000000000009E-3</v>
      </c>
      <c r="S50" s="81">
        <f t="shared" si="3"/>
        <v>2.3854808640000003</v>
      </c>
      <c r="T50" s="82" t="str">
        <f t="shared" si="0"/>
        <v/>
      </c>
      <c r="U50" s="83" t="str">
        <f t="shared" si="4"/>
        <v/>
      </c>
      <c r="V50" s="81">
        <f t="shared" si="5"/>
        <v>2.6240289504000001E-2</v>
      </c>
      <c r="W50" s="81" t="str">
        <f t="shared" si="6"/>
        <v/>
      </c>
      <c r="X50" s="81" t="str">
        <f t="shared" si="7"/>
        <v/>
      </c>
      <c r="Y50" s="81" t="str">
        <f t="shared" si="8"/>
        <v/>
      </c>
      <c r="Z50" s="81" t="str">
        <f t="shared" si="9"/>
        <v/>
      </c>
      <c r="AA50" s="84" t="str">
        <f t="shared" si="10"/>
        <v/>
      </c>
      <c r="AB50" s="81" t="str">
        <f t="shared" si="11"/>
        <v/>
      </c>
      <c r="AC50" s="81" t="str">
        <f t="shared" si="12"/>
        <v/>
      </c>
      <c r="AD50" s="81" t="str">
        <f t="shared" si="13"/>
        <v/>
      </c>
      <c r="AE50" s="81" t="str">
        <f t="shared" si="14"/>
        <v/>
      </c>
      <c r="AF50" s="81" t="str">
        <f t="shared" si="15"/>
        <v/>
      </c>
      <c r="AG50" s="81" t="str">
        <f t="shared" si="16"/>
        <v/>
      </c>
      <c r="AH50" s="84" t="str">
        <f t="shared" si="17"/>
        <v/>
      </c>
      <c r="AI50" s="81" t="str">
        <f t="shared" si="18"/>
        <v/>
      </c>
      <c r="AJ50" s="81" t="str">
        <f t="shared" si="19"/>
        <v/>
      </c>
      <c r="AK50" s="81" t="str">
        <f t="shared" si="20"/>
        <v/>
      </c>
      <c r="AL50" s="81" t="str">
        <f t="shared" si="21"/>
        <v/>
      </c>
    </row>
    <row r="51" spans="1:38" x14ac:dyDescent="0.25">
      <c r="A51" s="119" t="s">
        <v>44</v>
      </c>
      <c r="B51" s="120"/>
      <c r="C51" s="120" t="s">
        <v>40</v>
      </c>
      <c r="D51" s="59" t="s">
        <v>50</v>
      </c>
      <c r="E51" s="59"/>
      <c r="F51" s="59"/>
      <c r="G51" s="77"/>
      <c r="H51" s="77"/>
      <c r="I51" s="77"/>
      <c r="J51" s="77"/>
      <c r="K51" s="77"/>
      <c r="L51" s="86"/>
      <c r="M51" s="86"/>
      <c r="N51" s="86"/>
      <c r="O51" s="77"/>
      <c r="P51" s="78">
        <f>SUMIFS('Product samples'!E:E, 'Product samples'!A:A, B51)</f>
        <v>0</v>
      </c>
      <c r="Q51" s="79">
        <f t="shared" si="1"/>
        <v>0</v>
      </c>
      <c r="R51" s="80">
        <f t="shared" si="2"/>
        <v>8.1874000000000009E-3</v>
      </c>
      <c r="S51" s="81">
        <f t="shared" si="3"/>
        <v>2.3854808640000003</v>
      </c>
      <c r="T51" s="82" t="str">
        <f t="shared" si="0"/>
        <v/>
      </c>
      <c r="U51" s="83" t="str">
        <f t="shared" si="4"/>
        <v/>
      </c>
      <c r="V51" s="81" t="str">
        <f t="shared" si="5"/>
        <v/>
      </c>
      <c r="W51" s="81" t="str">
        <f t="shared" si="6"/>
        <v/>
      </c>
      <c r="X51" s="81" t="str">
        <f t="shared" si="7"/>
        <v/>
      </c>
      <c r="Y51" s="81" t="str">
        <f t="shared" si="8"/>
        <v/>
      </c>
      <c r="Z51" s="81" t="str">
        <f t="shared" si="9"/>
        <v/>
      </c>
      <c r="AA51" s="84" t="str">
        <f t="shared" si="10"/>
        <v/>
      </c>
      <c r="AB51" s="81" t="str">
        <f t="shared" si="11"/>
        <v/>
      </c>
      <c r="AC51" s="81" t="str">
        <f t="shared" si="12"/>
        <v/>
      </c>
      <c r="AD51" s="81" t="str">
        <f t="shared" si="13"/>
        <v/>
      </c>
      <c r="AE51" s="81" t="str">
        <f t="shared" si="14"/>
        <v/>
      </c>
      <c r="AF51" s="81" t="str">
        <f t="shared" si="15"/>
        <v/>
      </c>
      <c r="AG51" s="81" t="str">
        <f t="shared" si="16"/>
        <v/>
      </c>
      <c r="AH51" s="84" t="str">
        <f t="shared" si="17"/>
        <v/>
      </c>
      <c r="AI51" s="81" t="str">
        <f t="shared" si="18"/>
        <v/>
      </c>
      <c r="AJ51" s="81" t="str">
        <f t="shared" si="19"/>
        <v/>
      </c>
      <c r="AK51" s="81" t="str">
        <f t="shared" si="20"/>
        <v/>
      </c>
      <c r="AL51" s="81" t="str">
        <f t="shared" si="21"/>
        <v/>
      </c>
    </row>
    <row r="52" spans="1:38" x14ac:dyDescent="0.25">
      <c r="A52" s="119" t="s">
        <v>44</v>
      </c>
      <c r="B52" s="120"/>
      <c r="C52" s="120" t="s">
        <v>40</v>
      </c>
      <c r="D52" s="60" t="s">
        <v>51</v>
      </c>
      <c r="E52" s="60"/>
      <c r="F52" s="60"/>
      <c r="G52" s="77"/>
      <c r="H52" s="77"/>
      <c r="I52" s="77"/>
      <c r="J52" s="77"/>
      <c r="K52" s="77"/>
      <c r="L52" s="86"/>
      <c r="M52" s="86"/>
      <c r="N52" s="86"/>
      <c r="O52" s="77"/>
      <c r="P52" s="78">
        <f>SUMIFS('Product samples'!E:E, 'Product samples'!A:A, B52)</f>
        <v>0</v>
      </c>
      <c r="Q52" s="79">
        <f t="shared" si="1"/>
        <v>0</v>
      </c>
      <c r="R52" s="80">
        <f t="shared" si="2"/>
        <v>8.1874000000000009E-3</v>
      </c>
      <c r="S52" s="81">
        <f t="shared" si="3"/>
        <v>2.3854808640000003</v>
      </c>
      <c r="T52" s="82" t="str">
        <f t="shared" si="0"/>
        <v/>
      </c>
      <c r="U52" s="83" t="str">
        <f t="shared" si="4"/>
        <v/>
      </c>
      <c r="V52" s="81" t="str">
        <f t="shared" si="5"/>
        <v/>
      </c>
      <c r="W52" s="81" t="str">
        <f t="shared" si="6"/>
        <v/>
      </c>
      <c r="X52" s="81" t="str">
        <f t="shared" si="7"/>
        <v/>
      </c>
      <c r="Y52" s="81" t="str">
        <f t="shared" si="8"/>
        <v/>
      </c>
      <c r="Z52" s="81" t="str">
        <f t="shared" si="9"/>
        <v/>
      </c>
      <c r="AA52" s="84" t="str">
        <f t="shared" si="10"/>
        <v/>
      </c>
      <c r="AB52" s="81" t="str">
        <f t="shared" si="11"/>
        <v/>
      </c>
      <c r="AC52" s="81" t="str">
        <f t="shared" si="12"/>
        <v/>
      </c>
      <c r="AD52" s="81" t="str">
        <f t="shared" si="13"/>
        <v/>
      </c>
      <c r="AE52" s="81" t="str">
        <f t="shared" si="14"/>
        <v/>
      </c>
      <c r="AF52" s="81" t="str">
        <f t="shared" si="15"/>
        <v/>
      </c>
      <c r="AG52" s="81" t="str">
        <f t="shared" si="16"/>
        <v/>
      </c>
      <c r="AH52" s="84" t="str">
        <f t="shared" si="17"/>
        <v/>
      </c>
      <c r="AI52" s="81" t="str">
        <f t="shared" si="18"/>
        <v/>
      </c>
      <c r="AJ52" s="81" t="str">
        <f t="shared" si="19"/>
        <v/>
      </c>
      <c r="AK52" s="81" t="str">
        <f t="shared" si="20"/>
        <v/>
      </c>
      <c r="AL52" s="81" t="str">
        <f t="shared" si="21"/>
        <v/>
      </c>
    </row>
    <row r="53" spans="1:38" x14ac:dyDescent="0.25">
      <c r="A53" s="119" t="s">
        <v>44</v>
      </c>
      <c r="B53" s="120"/>
      <c r="C53" s="120" t="s">
        <v>40</v>
      </c>
      <c r="D53" s="59" t="s">
        <v>52</v>
      </c>
      <c r="E53" s="59"/>
      <c r="F53" s="59"/>
      <c r="G53" s="77"/>
      <c r="H53" s="77"/>
      <c r="I53" s="77"/>
      <c r="J53" s="77"/>
      <c r="K53" s="77">
        <v>1.6</v>
      </c>
      <c r="L53" s="86"/>
      <c r="M53" s="86"/>
      <c r="N53" s="86"/>
      <c r="O53" s="77"/>
      <c r="P53" s="78">
        <f>SUMIFS('Product samples'!E:E, 'Product samples'!A:A, B53)</f>
        <v>0</v>
      </c>
      <c r="Q53" s="79">
        <f t="shared" si="1"/>
        <v>0</v>
      </c>
      <c r="R53" s="80">
        <f t="shared" si="2"/>
        <v>8.1874000000000009E-3</v>
      </c>
      <c r="S53" s="81">
        <f t="shared" si="3"/>
        <v>2.3854808640000003</v>
      </c>
      <c r="T53" s="82" t="str">
        <f t="shared" si="0"/>
        <v/>
      </c>
      <c r="U53" s="83" t="str">
        <f t="shared" si="4"/>
        <v/>
      </c>
      <c r="V53" s="81">
        <f t="shared" si="5"/>
        <v>3.8167693824000004</v>
      </c>
      <c r="W53" s="81" t="str">
        <f t="shared" si="6"/>
        <v/>
      </c>
      <c r="X53" s="81" t="str">
        <f t="shared" si="7"/>
        <v/>
      </c>
      <c r="Y53" s="81" t="str">
        <f t="shared" si="8"/>
        <v/>
      </c>
      <c r="Z53" s="81" t="str">
        <f t="shared" si="9"/>
        <v/>
      </c>
      <c r="AA53" s="84" t="str">
        <f t="shared" si="10"/>
        <v/>
      </c>
      <c r="AB53" s="81" t="str">
        <f t="shared" si="11"/>
        <v/>
      </c>
      <c r="AC53" s="81" t="str">
        <f t="shared" si="12"/>
        <v/>
      </c>
      <c r="AD53" s="81" t="str">
        <f t="shared" si="13"/>
        <v/>
      </c>
      <c r="AE53" s="81" t="str">
        <f t="shared" si="14"/>
        <v/>
      </c>
      <c r="AF53" s="81" t="str">
        <f t="shared" si="15"/>
        <v/>
      </c>
      <c r="AG53" s="81" t="str">
        <f t="shared" si="16"/>
        <v/>
      </c>
      <c r="AH53" s="84" t="str">
        <f t="shared" si="17"/>
        <v/>
      </c>
      <c r="AI53" s="81" t="str">
        <f t="shared" si="18"/>
        <v/>
      </c>
      <c r="AJ53" s="81" t="str">
        <f t="shared" si="19"/>
        <v/>
      </c>
      <c r="AK53" s="81" t="str">
        <f t="shared" si="20"/>
        <v/>
      </c>
      <c r="AL53" s="81" t="str">
        <f t="shared" si="21"/>
        <v/>
      </c>
    </row>
    <row r="54" spans="1:38" x14ac:dyDescent="0.25">
      <c r="A54" s="119" t="s">
        <v>44</v>
      </c>
      <c r="B54" s="120"/>
      <c r="C54" s="120" t="s">
        <v>40</v>
      </c>
      <c r="D54" s="60" t="s">
        <v>53</v>
      </c>
      <c r="E54" s="60"/>
      <c r="F54" s="60"/>
      <c r="G54" s="77"/>
      <c r="H54" s="77"/>
      <c r="I54" s="77"/>
      <c r="J54" s="77"/>
      <c r="K54" s="77">
        <v>9.1</v>
      </c>
      <c r="L54" s="86"/>
      <c r="M54" s="86"/>
      <c r="N54" s="86"/>
      <c r="O54" s="77"/>
      <c r="P54" s="78">
        <f>SUMIFS('Product samples'!E:E, 'Product samples'!A:A, B54)</f>
        <v>0</v>
      </c>
      <c r="Q54" s="79">
        <f t="shared" si="1"/>
        <v>0</v>
      </c>
      <c r="R54" s="80">
        <f t="shared" si="2"/>
        <v>8.1874000000000009E-3</v>
      </c>
      <c r="S54" s="81">
        <f t="shared" si="3"/>
        <v>2.3854808640000003</v>
      </c>
      <c r="T54" s="82" t="str">
        <f t="shared" si="0"/>
        <v/>
      </c>
      <c r="U54" s="83" t="str">
        <f t="shared" si="4"/>
        <v/>
      </c>
      <c r="V54" s="81">
        <f t="shared" si="5"/>
        <v>21.707875862400002</v>
      </c>
      <c r="W54" s="81" t="str">
        <f t="shared" si="6"/>
        <v/>
      </c>
      <c r="X54" s="81" t="str">
        <f t="shared" si="7"/>
        <v/>
      </c>
      <c r="Y54" s="81" t="str">
        <f t="shared" si="8"/>
        <v/>
      </c>
      <c r="Z54" s="81" t="str">
        <f t="shared" si="9"/>
        <v/>
      </c>
      <c r="AA54" s="84" t="str">
        <f t="shared" si="10"/>
        <v/>
      </c>
      <c r="AB54" s="81" t="str">
        <f t="shared" si="11"/>
        <v/>
      </c>
      <c r="AC54" s="81" t="str">
        <f t="shared" si="12"/>
        <v/>
      </c>
      <c r="AD54" s="81" t="str">
        <f t="shared" si="13"/>
        <v/>
      </c>
      <c r="AE54" s="81" t="str">
        <f t="shared" si="14"/>
        <v/>
      </c>
      <c r="AF54" s="81" t="str">
        <f t="shared" si="15"/>
        <v/>
      </c>
      <c r="AG54" s="81" t="str">
        <f t="shared" si="16"/>
        <v/>
      </c>
      <c r="AH54" s="84" t="str">
        <f t="shared" si="17"/>
        <v/>
      </c>
      <c r="AI54" s="81" t="str">
        <f t="shared" si="18"/>
        <v/>
      </c>
      <c r="AJ54" s="81" t="str">
        <f t="shared" si="19"/>
        <v/>
      </c>
      <c r="AK54" s="81" t="str">
        <f t="shared" si="20"/>
        <v/>
      </c>
      <c r="AL54" s="81" t="str">
        <f t="shared" si="21"/>
        <v/>
      </c>
    </row>
    <row r="55" spans="1:38" x14ac:dyDescent="0.25">
      <c r="A55" s="119" t="s">
        <v>44</v>
      </c>
      <c r="B55" s="120" t="s">
        <v>45</v>
      </c>
      <c r="C55" s="120" t="s">
        <v>40</v>
      </c>
      <c r="D55" s="59" t="s">
        <v>45</v>
      </c>
      <c r="E55" s="59"/>
      <c r="F55" s="59"/>
      <c r="G55" s="77"/>
      <c r="H55" s="77">
        <v>359.51</v>
      </c>
      <c r="I55" s="77"/>
      <c r="J55" s="77"/>
      <c r="K55" s="77"/>
      <c r="L55" s="86"/>
      <c r="M55" s="77">
        <v>0.83</v>
      </c>
      <c r="N55" s="77">
        <v>0.83</v>
      </c>
      <c r="O55" s="77">
        <v>0.83</v>
      </c>
      <c r="P55" s="78">
        <f>SUMIFS('Product samples'!E:E, 'Product samples'!A:A, B55)</f>
        <v>0</v>
      </c>
      <c r="Q55" s="79">
        <f t="shared" si="1"/>
        <v>0</v>
      </c>
      <c r="R55" s="80">
        <f t="shared" si="2"/>
        <v>8.1874000000000009E-3</v>
      </c>
      <c r="S55" s="81">
        <f t="shared" si="3"/>
        <v>2.3854808640000003</v>
      </c>
      <c r="T55" s="82">
        <f t="shared" si="0"/>
        <v>6.7955420000000008E-3</v>
      </c>
      <c r="U55" s="83">
        <f t="shared" si="4"/>
        <v>2.4430653044200001</v>
      </c>
      <c r="V55" s="81" t="str">
        <f t="shared" si="5"/>
        <v/>
      </c>
      <c r="W55" s="81">
        <f t="shared" si="6"/>
        <v>6.7955420000000008E-3</v>
      </c>
      <c r="X55" s="81">
        <f t="shared" si="7"/>
        <v>2.4430653044200001</v>
      </c>
      <c r="Y55" s="81" t="str">
        <f t="shared" si="8"/>
        <v/>
      </c>
      <c r="Z55" s="81" t="str">
        <f t="shared" si="9"/>
        <v/>
      </c>
      <c r="AA55" s="84" t="e">
        <f t="shared" si="10"/>
        <v>#VALUE!</v>
      </c>
      <c r="AB55" s="81" t="e">
        <f t="shared" si="11"/>
        <v>#VALUE!</v>
      </c>
      <c r="AC55" s="81" t="str">
        <f t="shared" si="12"/>
        <v/>
      </c>
      <c r="AD55" s="81" t="str">
        <f t="shared" si="13"/>
        <v/>
      </c>
      <c r="AE55" s="81" t="str">
        <f t="shared" si="14"/>
        <v/>
      </c>
      <c r="AF55" s="81" t="str">
        <f t="shared" si="15"/>
        <v/>
      </c>
      <c r="AG55" s="81" t="str">
        <f t="shared" si="16"/>
        <v/>
      </c>
      <c r="AH55" s="84" t="e">
        <f t="shared" si="17"/>
        <v>#VALUE!</v>
      </c>
      <c r="AI55" s="81" t="e">
        <f t="shared" si="18"/>
        <v>#VALUE!</v>
      </c>
      <c r="AJ55" s="81" t="str">
        <f t="shared" si="19"/>
        <v/>
      </c>
      <c r="AK55" s="81" t="str">
        <f t="shared" si="20"/>
        <v/>
      </c>
      <c r="AL55" s="81" t="str">
        <f t="shared" si="21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036BC-9692-47A9-A6D8-FA72B8F937C5}">
  <sheetPr codeName="Sheet3">
    <tabColor theme="9"/>
  </sheetPr>
  <dimension ref="A1:F31"/>
  <sheetViews>
    <sheetView workbookViewId="0"/>
  </sheetViews>
  <sheetFormatPr defaultRowHeight="15" x14ac:dyDescent="0.25"/>
  <cols>
    <col min="1" max="1" width="48.140625" customWidth="1"/>
    <col min="2" max="2" width="30.85546875" customWidth="1"/>
    <col min="3" max="3" width="23.28515625" customWidth="1"/>
    <col min="4" max="4" width="26.7109375" customWidth="1"/>
    <col min="5" max="5" width="48.28515625" customWidth="1"/>
    <col min="6" max="6" width="17" customWidth="1"/>
  </cols>
  <sheetData>
    <row r="1" spans="1:6" x14ac:dyDescent="0.25">
      <c r="A1" s="3" t="s">
        <v>227</v>
      </c>
      <c r="B1" s="13" t="s">
        <v>225</v>
      </c>
      <c r="C1" s="12" t="s">
        <v>228</v>
      </c>
    </row>
    <row r="2" spans="1:6" x14ac:dyDescent="0.25">
      <c r="A2" s="3"/>
      <c r="B2" s="130" t="s">
        <v>243</v>
      </c>
      <c r="C2" s="125">
        <v>45379</v>
      </c>
    </row>
    <row r="3" spans="1:6" x14ac:dyDescent="0.25">
      <c r="A3" s="13"/>
      <c r="B3" s="121"/>
      <c r="D3" s="3"/>
      <c r="E3" s="3"/>
      <c r="F3" s="3"/>
    </row>
    <row r="4" spans="1:6" x14ac:dyDescent="0.25">
      <c r="A4" s="3" t="s">
        <v>229</v>
      </c>
      <c r="B4" s="12" t="s">
        <v>231</v>
      </c>
      <c r="C4" s="12" t="s">
        <v>230</v>
      </c>
      <c r="D4" s="12" t="s">
        <v>233</v>
      </c>
      <c r="E4" s="12" t="s">
        <v>242</v>
      </c>
    </row>
    <row r="5" spans="1:6" x14ac:dyDescent="0.25">
      <c r="A5" s="12"/>
      <c r="B5" s="121" t="s">
        <v>240</v>
      </c>
      <c r="C5" s="121" t="s">
        <v>232</v>
      </c>
      <c r="D5" s="122" t="s">
        <v>241</v>
      </c>
      <c r="E5" t="s">
        <v>234</v>
      </c>
    </row>
    <row r="6" spans="1:6" x14ac:dyDescent="0.25">
      <c r="A6" s="12"/>
      <c r="B6" s="121"/>
    </row>
    <row r="7" spans="1:6" x14ac:dyDescent="0.25">
      <c r="A7" s="21" t="s">
        <v>226</v>
      </c>
      <c r="B7" s="12" t="s">
        <v>235</v>
      </c>
      <c r="C7" t="s">
        <v>236</v>
      </c>
      <c r="D7" t="s">
        <v>237</v>
      </c>
    </row>
    <row r="8" spans="1:6" x14ac:dyDescent="0.25">
      <c r="B8" s="123" t="s">
        <v>165</v>
      </c>
      <c r="C8" s="123" t="s">
        <v>212</v>
      </c>
      <c r="D8" s="123" t="s">
        <v>214</v>
      </c>
    </row>
    <row r="12" spans="1:6" x14ac:dyDescent="0.25">
      <c r="C12" s="12"/>
    </row>
    <row r="17" spans="1:3" x14ac:dyDescent="0.25">
      <c r="B17" s="3" t="s">
        <v>70</v>
      </c>
    </row>
    <row r="18" spans="1:3" x14ac:dyDescent="0.25">
      <c r="B18" t="str">
        <f ca="1">IF(SUM(Chemicals!D2:F65)=SUM('Chemicals - sheets'!D2:F65),"No, it's done!", "Yes, press it!")</f>
        <v>Yes, press it!</v>
      </c>
    </row>
    <row r="28" spans="1:3" hidden="1" x14ac:dyDescent="0.25">
      <c r="A28" s="3" t="s">
        <v>163</v>
      </c>
      <c r="B28" s="3" t="s">
        <v>221</v>
      </c>
      <c r="C28" s="3" t="s">
        <v>222</v>
      </c>
    </row>
    <row r="29" spans="1:3" hidden="1" x14ac:dyDescent="0.25">
      <c r="A29" t="s">
        <v>164</v>
      </c>
      <c r="B29" t="s">
        <v>212</v>
      </c>
      <c r="C29" t="s">
        <v>223</v>
      </c>
    </row>
    <row r="30" spans="1:3" hidden="1" x14ac:dyDescent="0.25">
      <c r="A30" t="s">
        <v>165</v>
      </c>
      <c r="B30" t="s">
        <v>213</v>
      </c>
      <c r="C30" t="s">
        <v>214</v>
      </c>
    </row>
    <row r="31" spans="1:3" hidden="1" x14ac:dyDescent="0.25">
      <c r="A31" t="s">
        <v>166</v>
      </c>
      <c r="B31" t="s">
        <v>214</v>
      </c>
      <c r="C31" t="s">
        <v>238</v>
      </c>
    </row>
  </sheetData>
  <dataValidations count="3">
    <dataValidation type="list" allowBlank="1" showInputMessage="1" showErrorMessage="1" sqref="B8" xr:uid="{86C34A69-0AFD-40AB-8323-89CEBCD94069}">
      <formula1>$A$29:$A$31</formula1>
    </dataValidation>
    <dataValidation type="list" allowBlank="1" showInputMessage="1" showErrorMessage="1" sqref="C8" xr:uid="{76E05F30-4DA0-41C4-A70F-90ECE4A58DFD}">
      <formula1>$B$29:$B$31</formula1>
    </dataValidation>
    <dataValidation type="list" allowBlank="1" showInputMessage="1" showErrorMessage="1" sqref="D8" xr:uid="{167B1C64-6F11-42B5-83B2-73E299A2BA75}">
      <formula1>$C$29:$C$31</formula1>
    </dataValidation>
  </dataValidations>
  <pageMargins left="0.7" right="0.7" top="0.75" bottom="0.75" header="0.3" footer="0.3"/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88F6C-058A-42B3-AF8E-3ABC26B5990E}">
  <sheetPr codeName="Sheet6">
    <tabColor theme="0"/>
  </sheetPr>
  <dimension ref="A1:U23"/>
  <sheetViews>
    <sheetView workbookViewId="0"/>
  </sheetViews>
  <sheetFormatPr defaultRowHeight="15" x14ac:dyDescent="0.25"/>
  <cols>
    <col min="1" max="1" width="27.7109375" customWidth="1"/>
    <col min="2" max="2" width="39.28515625" customWidth="1"/>
    <col min="3" max="3" width="31.28515625" customWidth="1"/>
    <col min="4" max="4" width="26.140625" style="1" customWidth="1"/>
    <col min="5" max="5" width="13.140625" style="1" customWidth="1"/>
    <col min="7" max="7" width="14.28515625" customWidth="1"/>
  </cols>
  <sheetData>
    <row r="1" spans="1:21" ht="90" x14ac:dyDescent="0.25">
      <c r="A1" t="s">
        <v>55</v>
      </c>
      <c r="B1" t="s">
        <v>56</v>
      </c>
      <c r="C1" t="s">
        <v>62</v>
      </c>
      <c r="D1" t="s">
        <v>60</v>
      </c>
      <c r="E1" t="s">
        <v>61</v>
      </c>
      <c r="F1" t="s">
        <v>69</v>
      </c>
      <c r="G1" s="9" t="s">
        <v>204</v>
      </c>
      <c r="I1" t="s">
        <v>220</v>
      </c>
      <c r="J1" t="s">
        <v>72</v>
      </c>
      <c r="K1" s="9" t="s">
        <v>207</v>
      </c>
      <c r="L1" s="9" t="s">
        <v>224</v>
      </c>
      <c r="M1" t="s">
        <v>206</v>
      </c>
      <c r="N1" s="9" t="s">
        <v>208</v>
      </c>
      <c r="O1" s="9" t="s">
        <v>205</v>
      </c>
      <c r="P1" t="s">
        <v>170</v>
      </c>
      <c r="Q1" t="s">
        <v>203</v>
      </c>
      <c r="R1" t="s">
        <v>202</v>
      </c>
      <c r="S1">
        <v>0.02</v>
      </c>
    </row>
    <row r="2" spans="1:21" x14ac:dyDescent="0.25">
      <c r="A2" t="s">
        <v>15</v>
      </c>
      <c r="B2" t="s">
        <v>21</v>
      </c>
      <c r="D2">
        <v>5</v>
      </c>
      <c r="E2">
        <v>0</v>
      </c>
      <c r="F2">
        <v>1</v>
      </c>
      <c r="G2">
        <v>1</v>
      </c>
      <c r="J2" t="s">
        <v>73</v>
      </c>
      <c r="K2">
        <v>10</v>
      </c>
      <c r="L2">
        <v>5</v>
      </c>
      <c r="M2">
        <v>50</v>
      </c>
      <c r="N2">
        <v>250</v>
      </c>
      <c r="O2">
        <v>2500</v>
      </c>
    </row>
    <row r="3" spans="1:21" x14ac:dyDescent="0.25">
      <c r="A3" t="s">
        <v>74</v>
      </c>
      <c r="B3" t="s">
        <v>75</v>
      </c>
      <c r="C3">
        <v>0</v>
      </c>
      <c r="D3">
        <v>1.7</v>
      </c>
      <c r="E3">
        <v>74.31</v>
      </c>
      <c r="F3">
        <v>1</v>
      </c>
      <c r="J3" t="s">
        <v>73</v>
      </c>
      <c r="K3">
        <v>24</v>
      </c>
      <c r="L3">
        <v>1.7</v>
      </c>
      <c r="M3">
        <v>40.799999999999997</v>
      </c>
      <c r="N3">
        <v>85</v>
      </c>
      <c r="O3">
        <v>2040</v>
      </c>
    </row>
    <row r="4" spans="1:21" x14ac:dyDescent="0.25">
      <c r="A4" t="s">
        <v>83</v>
      </c>
      <c r="B4" t="s">
        <v>84</v>
      </c>
      <c r="C4">
        <v>0</v>
      </c>
      <c r="D4">
        <v>40</v>
      </c>
      <c r="E4">
        <v>0</v>
      </c>
      <c r="F4">
        <v>1</v>
      </c>
      <c r="J4" t="s">
        <v>239</v>
      </c>
      <c r="K4">
        <v>8</v>
      </c>
      <c r="L4">
        <v>0</v>
      </c>
      <c r="M4">
        <v>0</v>
      </c>
      <c r="N4">
        <v>0</v>
      </c>
      <c r="O4">
        <v>0</v>
      </c>
      <c r="S4" t="s">
        <v>219</v>
      </c>
    </row>
    <row r="5" spans="1:21" ht="75" x14ac:dyDescent="0.25">
      <c r="A5" t="s">
        <v>104</v>
      </c>
      <c r="B5" t="s">
        <v>105</v>
      </c>
      <c r="C5">
        <v>0</v>
      </c>
      <c r="D5">
        <v>3.66</v>
      </c>
      <c r="E5">
        <v>0</v>
      </c>
      <c r="F5">
        <v>1</v>
      </c>
      <c r="J5" t="s">
        <v>73</v>
      </c>
      <c r="K5">
        <v>1</v>
      </c>
      <c r="L5">
        <v>3.66</v>
      </c>
      <c r="M5">
        <v>3.66</v>
      </c>
      <c r="N5">
        <v>183</v>
      </c>
      <c r="O5">
        <v>183</v>
      </c>
      <c r="S5" s="9" t="s">
        <v>209</v>
      </c>
      <c r="T5" s="9" t="s">
        <v>211</v>
      </c>
      <c r="U5" s="9" t="s">
        <v>210</v>
      </c>
    </row>
    <row r="6" spans="1:21" x14ac:dyDescent="0.25">
      <c r="A6" t="s">
        <v>117</v>
      </c>
      <c r="B6" t="s">
        <v>118</v>
      </c>
      <c r="C6">
        <v>0</v>
      </c>
      <c r="D6">
        <v>5.44</v>
      </c>
      <c r="E6">
        <v>0</v>
      </c>
      <c r="F6">
        <v>1</v>
      </c>
      <c r="J6" t="s">
        <v>73</v>
      </c>
      <c r="K6">
        <v>2</v>
      </c>
      <c r="L6">
        <v>5.44</v>
      </c>
      <c r="M6">
        <v>10.88</v>
      </c>
      <c r="N6">
        <v>272</v>
      </c>
      <c r="O6">
        <v>544</v>
      </c>
      <c r="S6">
        <v>0.02</v>
      </c>
      <c r="T6">
        <v>729.04</v>
      </c>
      <c r="U6">
        <v>36452</v>
      </c>
    </row>
    <row r="7" spans="1:21" x14ac:dyDescent="0.25">
      <c r="A7" t="s">
        <v>102</v>
      </c>
      <c r="B7" t="s">
        <v>103</v>
      </c>
      <c r="C7">
        <v>0</v>
      </c>
      <c r="D7">
        <v>6.18</v>
      </c>
      <c r="E7">
        <v>0</v>
      </c>
      <c r="F7">
        <v>1</v>
      </c>
      <c r="J7" t="s">
        <v>73</v>
      </c>
      <c r="K7">
        <v>3</v>
      </c>
      <c r="L7">
        <v>6.18</v>
      </c>
      <c r="M7">
        <v>18.54</v>
      </c>
      <c r="N7">
        <v>309</v>
      </c>
      <c r="O7">
        <v>927</v>
      </c>
      <c r="S7">
        <v>0.02</v>
      </c>
    </row>
    <row r="8" spans="1:21" x14ac:dyDescent="0.25">
      <c r="A8" t="s">
        <v>80</v>
      </c>
      <c r="B8" t="s">
        <v>63</v>
      </c>
      <c r="C8">
        <v>0</v>
      </c>
      <c r="D8">
        <v>0.48</v>
      </c>
      <c r="E8">
        <v>0.48</v>
      </c>
      <c r="F8">
        <v>1</v>
      </c>
      <c r="J8" t="s">
        <v>73</v>
      </c>
      <c r="K8">
        <v>6</v>
      </c>
      <c r="L8">
        <v>0.48</v>
      </c>
      <c r="M8">
        <v>2.88</v>
      </c>
      <c r="N8">
        <v>24</v>
      </c>
      <c r="O8">
        <v>144</v>
      </c>
    </row>
    <row r="9" spans="1:21" x14ac:dyDescent="0.25">
      <c r="A9" t="s">
        <v>7</v>
      </c>
      <c r="B9" t="s">
        <v>160</v>
      </c>
      <c r="D9">
        <v>7.79</v>
      </c>
      <c r="E9">
        <v>0</v>
      </c>
      <c r="F9">
        <v>1</v>
      </c>
      <c r="G9">
        <v>1</v>
      </c>
      <c r="J9" t="s">
        <v>73</v>
      </c>
      <c r="K9">
        <v>5</v>
      </c>
      <c r="L9">
        <v>7.79</v>
      </c>
      <c r="M9">
        <v>38.950000000000003</v>
      </c>
      <c r="N9">
        <v>389.5</v>
      </c>
      <c r="O9">
        <v>1947.5</v>
      </c>
    </row>
    <row r="10" spans="1:21" x14ac:dyDescent="0.25">
      <c r="A10" t="s">
        <v>133</v>
      </c>
      <c r="B10" t="s">
        <v>134</v>
      </c>
      <c r="C10">
        <v>0</v>
      </c>
      <c r="D10">
        <v>0</v>
      </c>
      <c r="E10">
        <v>0</v>
      </c>
      <c r="F10">
        <v>1</v>
      </c>
      <c r="J10" t="s">
        <v>73</v>
      </c>
      <c r="K10">
        <v>3</v>
      </c>
      <c r="L10">
        <v>0</v>
      </c>
      <c r="M10">
        <v>0</v>
      </c>
      <c r="N10">
        <v>0</v>
      </c>
      <c r="O10">
        <v>0</v>
      </c>
    </row>
    <row r="11" spans="1:21" x14ac:dyDescent="0.25">
      <c r="A11" t="s">
        <v>137</v>
      </c>
      <c r="B11" t="s">
        <v>138</v>
      </c>
      <c r="C11">
        <v>0</v>
      </c>
      <c r="D11">
        <v>2.31</v>
      </c>
      <c r="E11">
        <v>1.56</v>
      </c>
      <c r="F11">
        <v>1</v>
      </c>
      <c r="J11" t="s">
        <v>73</v>
      </c>
      <c r="K11">
        <v>6</v>
      </c>
      <c r="L11">
        <v>2.31</v>
      </c>
      <c r="M11">
        <v>13.86</v>
      </c>
      <c r="N11">
        <v>115.5</v>
      </c>
      <c r="O11">
        <v>693</v>
      </c>
    </row>
    <row r="12" spans="1:21" x14ac:dyDescent="0.25">
      <c r="A12" t="s">
        <v>81</v>
      </c>
      <c r="B12" t="s">
        <v>82</v>
      </c>
      <c r="C12">
        <v>0</v>
      </c>
      <c r="D12">
        <v>70.069999999999993</v>
      </c>
      <c r="E12">
        <v>77.86</v>
      </c>
      <c r="F12">
        <v>1</v>
      </c>
      <c r="J12" t="s">
        <v>73</v>
      </c>
      <c r="K12">
        <v>7</v>
      </c>
      <c r="L12">
        <v>70.069999999999993</v>
      </c>
      <c r="M12">
        <v>490.49</v>
      </c>
      <c r="N12">
        <v>3503.5</v>
      </c>
      <c r="O12">
        <v>24524.5</v>
      </c>
    </row>
    <row r="13" spans="1:21" x14ac:dyDescent="0.25">
      <c r="A13" t="s">
        <v>12</v>
      </c>
      <c r="B13" t="s">
        <v>158</v>
      </c>
      <c r="D13">
        <v>7.35</v>
      </c>
      <c r="E13">
        <v>0</v>
      </c>
      <c r="F13">
        <v>1</v>
      </c>
      <c r="G13">
        <v>1</v>
      </c>
      <c r="J13" t="s">
        <v>73</v>
      </c>
      <c r="K13">
        <v>8</v>
      </c>
      <c r="L13">
        <v>7.35</v>
      </c>
      <c r="M13">
        <v>58.8</v>
      </c>
      <c r="N13">
        <v>367.5</v>
      </c>
      <c r="O13">
        <v>2940</v>
      </c>
    </row>
    <row r="14" spans="1:21" x14ac:dyDescent="0.25">
      <c r="A14" t="s">
        <v>11</v>
      </c>
      <c r="B14" t="s">
        <v>159</v>
      </c>
      <c r="D14">
        <v>0.02</v>
      </c>
      <c r="E14">
        <v>0</v>
      </c>
      <c r="F14">
        <v>1</v>
      </c>
      <c r="G14">
        <v>1</v>
      </c>
      <c r="J14" t="s">
        <v>73</v>
      </c>
      <c r="K14">
        <v>9</v>
      </c>
      <c r="L14">
        <v>0.02</v>
      </c>
      <c r="M14">
        <v>0.18</v>
      </c>
      <c r="N14">
        <v>1</v>
      </c>
      <c r="O14">
        <v>9</v>
      </c>
    </row>
    <row r="15" spans="1:21" x14ac:dyDescent="0.25">
      <c r="D15"/>
      <c r="E15"/>
    </row>
    <row r="16" spans="1:21" x14ac:dyDescent="0.25">
      <c r="D16"/>
      <c r="E16"/>
    </row>
    <row r="17" spans="4:5" x14ac:dyDescent="0.25">
      <c r="D17"/>
      <c r="E17"/>
    </row>
    <row r="18" spans="4:5" x14ac:dyDescent="0.25">
      <c r="D18"/>
      <c r="E18"/>
    </row>
    <row r="19" spans="4:5" x14ac:dyDescent="0.25">
      <c r="D19"/>
      <c r="E19"/>
    </row>
    <row r="20" spans="4:5" x14ac:dyDescent="0.25">
      <c r="D20"/>
      <c r="E20"/>
    </row>
    <row r="21" spans="4:5" x14ac:dyDescent="0.25">
      <c r="D21"/>
      <c r="E21"/>
    </row>
    <row r="22" spans="4:5" x14ac:dyDescent="0.25">
      <c r="D22"/>
      <c r="E22"/>
    </row>
    <row r="23" spans="4:5" x14ac:dyDescent="0.25">
      <c r="D23"/>
      <c r="E2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6SNYFIBI5HZQFZWFZZGINB2GXVZGGRLB:ms-officescript%3A%2F%2Fonedrive_business_sharinglink%2Fu!aHR0cHM6Ly90YmRiaW9kaXNjb3ZlcnktbXkuc2hhcmVwb2ludC5jb20vOnU6L2cvcGVyc29uYWwvb2ZmdGJkMDJfdGJkYmlvZGlzY292ZXJ5X29ubWljcm9zb2Z0X2NvbS9FU2pwOHdMbXhjNU1ob2RHdlhKalJXRUJLX1hmUW9JOUJuY3Z1bnBjc0Y3UW1R"/>
</scriptIds>
</file>

<file path=customXml/itemProps1.xml><?xml version="1.0" encoding="utf-8"?>
<ds:datastoreItem xmlns:ds="http://schemas.openxmlformats.org/officeDocument/2006/customXml" ds:itemID="{FF59211C-30B2-4430-A45B-250D9818FE93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TP.1 DETO</vt:lpstr>
      <vt:lpstr>TP.1 ATI</vt:lpstr>
      <vt:lpstr>TP.2 ATI</vt:lpstr>
      <vt:lpstr>TP.3 ATI</vt:lpstr>
      <vt:lpstr>TP.4 ATI</vt:lpstr>
      <vt:lpstr>TP.5 ATI</vt:lpstr>
      <vt:lpstr>PGI</vt:lpstr>
      <vt:lpstr>Chemicals</vt:lpstr>
      <vt:lpstr>Product samples</vt:lpstr>
      <vt:lpstr>Chemical data ref sheet</vt:lpstr>
      <vt:lpstr>Example</vt:lpstr>
      <vt:lpstr>Parameters</vt:lpstr>
      <vt:lpstr>Chemicals - sheets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Tõnis</dc:creator>
  <cp:lastModifiedBy>Denys Verves</cp:lastModifiedBy>
  <cp:lastPrinted>2024-12-09T08:21:06Z</cp:lastPrinted>
  <dcterms:created xsi:type="dcterms:W3CDTF">2023-04-25T08:39:18Z</dcterms:created>
  <dcterms:modified xsi:type="dcterms:W3CDTF">2025-02-18T13:26:29Z</dcterms:modified>
</cp:coreProperties>
</file>